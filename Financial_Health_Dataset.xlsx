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CE35CA17-AAD8-4DDA-826D-63F55FDA67E1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Income Statement" sheetId="1" r:id="rId1"/>
    <sheet name="Balance Sheet" sheetId="2" r:id="rId2"/>
    <sheet name="Cash Flow Statemen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H10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G10" i="3"/>
  <c r="F10" i="3"/>
  <c r="E10" i="3"/>
  <c r="D10" i="3"/>
  <c r="C10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L12" i="2"/>
  <c r="AL16" i="2" s="1"/>
  <c r="AK12" i="2"/>
  <c r="AK16" i="2" s="1"/>
  <c r="AJ12" i="2"/>
  <c r="AJ16" i="2" s="1"/>
  <c r="AI12" i="2"/>
  <c r="AI16" i="2" s="1"/>
  <c r="AH12" i="2"/>
  <c r="AH16" i="2" s="1"/>
  <c r="AG12" i="2"/>
  <c r="AG16" i="2" s="1"/>
  <c r="AF12" i="2"/>
  <c r="AF16" i="2" s="1"/>
  <c r="AE12" i="2"/>
  <c r="AE16" i="2" s="1"/>
  <c r="AD12" i="2"/>
  <c r="AD16" i="2" s="1"/>
  <c r="AC12" i="2"/>
  <c r="AC16" i="2" s="1"/>
  <c r="AB12" i="2"/>
  <c r="AB16" i="2" s="1"/>
  <c r="AA12" i="2"/>
  <c r="AA16" i="2" s="1"/>
  <c r="Z12" i="2"/>
  <c r="Z16" i="2" s="1"/>
  <c r="Y12" i="2"/>
  <c r="Y16" i="2" s="1"/>
  <c r="X12" i="2"/>
  <c r="X16" i="2" s="1"/>
  <c r="W12" i="2"/>
  <c r="W16" i="2" s="1"/>
  <c r="V12" i="2"/>
  <c r="V16" i="2" s="1"/>
  <c r="U12" i="2"/>
  <c r="U16" i="2" s="1"/>
  <c r="T12" i="2"/>
  <c r="T16" i="2" s="1"/>
  <c r="S12" i="2"/>
  <c r="S16" i="2" s="1"/>
  <c r="R12" i="2"/>
  <c r="R16" i="2" s="1"/>
  <c r="Q12" i="2"/>
  <c r="Q16" i="2" s="1"/>
  <c r="P12" i="2"/>
  <c r="P16" i="2" s="1"/>
  <c r="O12" i="2"/>
  <c r="O16" i="2" s="1"/>
  <c r="N12" i="2"/>
  <c r="N16" i="2" s="1"/>
  <c r="M12" i="2"/>
  <c r="M16" i="2" s="1"/>
  <c r="L12" i="2"/>
  <c r="L16" i="2" s="1"/>
  <c r="K12" i="2"/>
  <c r="K16" i="2" s="1"/>
  <c r="J12" i="2"/>
  <c r="J16" i="2" s="1"/>
  <c r="I12" i="2"/>
  <c r="I16" i="2" s="1"/>
  <c r="H12" i="2"/>
  <c r="H16" i="2" s="1"/>
  <c r="G12" i="2"/>
  <c r="G16" i="2" s="1"/>
  <c r="F12" i="2"/>
  <c r="F16" i="2" s="1"/>
  <c r="E12" i="2"/>
  <c r="E16" i="2" s="1"/>
  <c r="D12" i="2"/>
  <c r="D16" i="2" s="1"/>
  <c r="C12" i="2"/>
  <c r="C16" i="2" s="1"/>
  <c r="AL7" i="2"/>
  <c r="AL9" i="2" s="1"/>
  <c r="AL17" i="2" s="1"/>
  <c r="AK7" i="2"/>
  <c r="AK9" i="2" s="1"/>
  <c r="AJ7" i="2"/>
  <c r="AJ9" i="2" s="1"/>
  <c r="AJ17" i="2" s="1"/>
  <c r="AI7" i="2"/>
  <c r="AI9" i="2" s="1"/>
  <c r="AH7" i="2"/>
  <c r="AH9" i="2" s="1"/>
  <c r="AH17" i="2" s="1"/>
  <c r="AG7" i="2"/>
  <c r="AG9" i="2" s="1"/>
  <c r="AF7" i="2"/>
  <c r="AF9" i="2" s="1"/>
  <c r="AF17" i="2" s="1"/>
  <c r="AE7" i="2"/>
  <c r="AE9" i="2" s="1"/>
  <c r="AD7" i="2"/>
  <c r="AD9" i="2" s="1"/>
  <c r="AD17" i="2" s="1"/>
  <c r="AC7" i="2"/>
  <c r="AC9" i="2" s="1"/>
  <c r="AB7" i="2"/>
  <c r="AB9" i="2" s="1"/>
  <c r="AB17" i="2" s="1"/>
  <c r="AA7" i="2"/>
  <c r="AA9" i="2" s="1"/>
  <c r="Z7" i="2"/>
  <c r="Z9" i="2" s="1"/>
  <c r="Z17" i="2" s="1"/>
  <c r="Y7" i="2"/>
  <c r="Y9" i="2" s="1"/>
  <c r="X7" i="2"/>
  <c r="X9" i="2" s="1"/>
  <c r="X17" i="2" s="1"/>
  <c r="W7" i="2"/>
  <c r="W9" i="2" s="1"/>
  <c r="V7" i="2"/>
  <c r="V9" i="2" s="1"/>
  <c r="V17" i="2" s="1"/>
  <c r="U7" i="2"/>
  <c r="U9" i="2" s="1"/>
  <c r="T7" i="2"/>
  <c r="T9" i="2" s="1"/>
  <c r="T17" i="2" s="1"/>
  <c r="S7" i="2"/>
  <c r="S9" i="2" s="1"/>
  <c r="R7" i="2"/>
  <c r="R9" i="2" s="1"/>
  <c r="R17" i="2" s="1"/>
  <c r="Q7" i="2"/>
  <c r="Q9" i="2" s="1"/>
  <c r="P7" i="2"/>
  <c r="P9" i="2" s="1"/>
  <c r="P17" i="2" s="1"/>
  <c r="O7" i="2"/>
  <c r="O9" i="2" s="1"/>
  <c r="N7" i="2"/>
  <c r="N9" i="2" s="1"/>
  <c r="N17" i="2" s="1"/>
  <c r="M7" i="2"/>
  <c r="M9" i="2" s="1"/>
  <c r="L7" i="2"/>
  <c r="L9" i="2" s="1"/>
  <c r="L17" i="2" s="1"/>
  <c r="K7" i="2"/>
  <c r="K9" i="2" s="1"/>
  <c r="J7" i="2"/>
  <c r="J9" i="2" s="1"/>
  <c r="J17" i="2" s="1"/>
  <c r="I7" i="2"/>
  <c r="I9" i="2" s="1"/>
  <c r="I17" i="2" s="1"/>
  <c r="H7" i="2"/>
  <c r="H9" i="2" s="1"/>
  <c r="H17" i="2" s="1"/>
  <c r="G7" i="2"/>
  <c r="G9" i="2" s="1"/>
  <c r="F7" i="2"/>
  <c r="F9" i="2" s="1"/>
  <c r="F17" i="2" s="1"/>
  <c r="E7" i="2"/>
  <c r="E9" i="2" s="1"/>
  <c r="D7" i="2"/>
  <c r="D9" i="2" s="1"/>
  <c r="D17" i="2" s="1"/>
  <c r="C7" i="2"/>
  <c r="C9" i="2" s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F8" i="1"/>
  <c r="Q8" i="1"/>
  <c r="Q17" i="1" s="1"/>
  <c r="Q20" i="1" s="1"/>
  <c r="AL6" i="1"/>
  <c r="AL8" i="1" s="1"/>
  <c r="AK6" i="1"/>
  <c r="AK8" i="1" s="1"/>
  <c r="AJ6" i="1"/>
  <c r="AJ8" i="1" s="1"/>
  <c r="AI6" i="1"/>
  <c r="AI8" i="1" s="1"/>
  <c r="AH6" i="1"/>
  <c r="AH8" i="1" s="1"/>
  <c r="AG6" i="1"/>
  <c r="AG8" i="1" s="1"/>
  <c r="AG17" i="1" s="1"/>
  <c r="AG20" i="1" s="1"/>
  <c r="AF6" i="1"/>
  <c r="AE6" i="1"/>
  <c r="AE8" i="1" s="1"/>
  <c r="AD6" i="1"/>
  <c r="AD8" i="1" s="1"/>
  <c r="AC6" i="1"/>
  <c r="AC8" i="1" s="1"/>
  <c r="AB6" i="1"/>
  <c r="AB8" i="1" s="1"/>
  <c r="AA6" i="1"/>
  <c r="AA8" i="1" s="1"/>
  <c r="Z6" i="1"/>
  <c r="Z8" i="1" s="1"/>
  <c r="Y6" i="1"/>
  <c r="Y8" i="1" s="1"/>
  <c r="X6" i="1"/>
  <c r="X8" i="1" s="1"/>
  <c r="W6" i="1"/>
  <c r="W8" i="1" s="1"/>
  <c r="W17" i="1" s="1"/>
  <c r="W20" i="1" s="1"/>
  <c r="V6" i="1"/>
  <c r="V8" i="1" s="1"/>
  <c r="U6" i="1"/>
  <c r="U8" i="1" s="1"/>
  <c r="T6" i="1"/>
  <c r="T8" i="1" s="1"/>
  <c r="S6" i="1"/>
  <c r="S8" i="1" s="1"/>
  <c r="R6" i="1"/>
  <c r="R8" i="1" s="1"/>
  <c r="Q6" i="1"/>
  <c r="P6" i="1"/>
  <c r="P8" i="1" s="1"/>
  <c r="O6" i="1"/>
  <c r="O8" i="1" s="1"/>
  <c r="N6" i="1"/>
  <c r="N8" i="1" s="1"/>
  <c r="M6" i="1"/>
  <c r="M8" i="1" s="1"/>
  <c r="L6" i="1"/>
  <c r="L8" i="1" s="1"/>
  <c r="K6" i="1"/>
  <c r="K8" i="1" s="1"/>
  <c r="J6" i="1"/>
  <c r="J8" i="1" s="1"/>
  <c r="I6" i="1"/>
  <c r="I8" i="1" s="1"/>
  <c r="H6" i="1"/>
  <c r="H8" i="1" s="1"/>
  <c r="G6" i="1"/>
  <c r="G8" i="1" s="1"/>
  <c r="G9" i="1" s="1"/>
  <c r="F6" i="1"/>
  <c r="F8" i="1" s="1"/>
  <c r="E6" i="1"/>
  <c r="E8" i="1" s="1"/>
  <c r="D6" i="1"/>
  <c r="D8" i="1" s="1"/>
  <c r="C6" i="1"/>
  <c r="C8" i="1" s="1"/>
  <c r="M17" i="2" l="1"/>
  <c r="Y17" i="2"/>
  <c r="AC17" i="2"/>
  <c r="AG17" i="2"/>
  <c r="Q17" i="2"/>
  <c r="E17" i="2"/>
  <c r="AK17" i="2"/>
  <c r="H17" i="1"/>
  <c r="H20" i="1" s="1"/>
  <c r="H9" i="1"/>
  <c r="C17" i="1"/>
  <c r="C20" i="1" s="1"/>
  <c r="C9" i="1"/>
  <c r="K17" i="1"/>
  <c r="K20" i="1" s="1"/>
  <c r="K9" i="1"/>
  <c r="O9" i="1"/>
  <c r="O17" i="1"/>
  <c r="O20" i="1" s="1"/>
  <c r="S9" i="1"/>
  <c r="S17" i="1"/>
  <c r="S20" i="1" s="1"/>
  <c r="AA17" i="1"/>
  <c r="AA20" i="1" s="1"/>
  <c r="AA9" i="1"/>
  <c r="AE17" i="1"/>
  <c r="AE20" i="1" s="1"/>
  <c r="AE9" i="1"/>
  <c r="AI9" i="1"/>
  <c r="AI17" i="1"/>
  <c r="AI20" i="1" s="1"/>
  <c r="Q21" i="1"/>
  <c r="Q22" i="1" s="1"/>
  <c r="D17" i="1"/>
  <c r="D20" i="1" s="1"/>
  <c r="D9" i="1"/>
  <c r="T17" i="1"/>
  <c r="T20" i="1" s="1"/>
  <c r="T9" i="1"/>
  <c r="AJ17" i="1"/>
  <c r="AJ20" i="1" s="1"/>
  <c r="AJ9" i="1"/>
  <c r="W21" i="1"/>
  <c r="W22" i="1" s="1"/>
  <c r="AG21" i="1"/>
  <c r="AG22" i="1" s="1"/>
  <c r="E9" i="1"/>
  <c r="E17" i="1"/>
  <c r="E20" i="1" s="1"/>
  <c r="I17" i="1"/>
  <c r="I20" i="1" s="1"/>
  <c r="I9" i="1"/>
  <c r="M9" i="1"/>
  <c r="M17" i="1"/>
  <c r="M20" i="1" s="1"/>
  <c r="U9" i="1"/>
  <c r="U17" i="1"/>
  <c r="U20" i="1" s="1"/>
  <c r="Y17" i="1"/>
  <c r="Y20" i="1" s="1"/>
  <c r="Y9" i="1"/>
  <c r="AC9" i="1"/>
  <c r="AC17" i="1"/>
  <c r="AC20" i="1" s="1"/>
  <c r="AK9" i="1"/>
  <c r="AK17" i="1"/>
  <c r="AK20" i="1" s="1"/>
  <c r="F17" i="1"/>
  <c r="F20" i="1" s="1"/>
  <c r="F9" i="1"/>
  <c r="R17" i="1"/>
  <c r="R20" i="1" s="1"/>
  <c r="R9" i="1"/>
  <c r="Z17" i="1"/>
  <c r="Z20" i="1" s="1"/>
  <c r="Z9" i="1"/>
  <c r="AL17" i="1"/>
  <c r="AL20" i="1" s="1"/>
  <c r="AL9" i="1"/>
  <c r="L17" i="1"/>
  <c r="L20" i="1" s="1"/>
  <c r="L9" i="1"/>
  <c r="AB17" i="1"/>
  <c r="AB20" i="1" s="1"/>
  <c r="AB9" i="1"/>
  <c r="Q9" i="1"/>
  <c r="AG9" i="1"/>
  <c r="U17" i="2"/>
  <c r="W9" i="1"/>
  <c r="H21" i="1"/>
  <c r="H22" i="1" s="1"/>
  <c r="X17" i="1"/>
  <c r="X20" i="1" s="1"/>
  <c r="X9" i="1"/>
  <c r="G17" i="1"/>
  <c r="G20" i="1" s="1"/>
  <c r="J17" i="1"/>
  <c r="J20" i="1" s="1"/>
  <c r="J9" i="1"/>
  <c r="N17" i="1"/>
  <c r="N20" i="1" s="1"/>
  <c r="N9" i="1"/>
  <c r="V17" i="1"/>
  <c r="V20" i="1" s="1"/>
  <c r="V9" i="1"/>
  <c r="AD17" i="1"/>
  <c r="AD20" i="1" s="1"/>
  <c r="AD9" i="1"/>
  <c r="AH17" i="1"/>
  <c r="AH20" i="1" s="1"/>
  <c r="AH9" i="1"/>
  <c r="P17" i="1"/>
  <c r="P20" i="1" s="1"/>
  <c r="P9" i="1"/>
  <c r="AF17" i="1"/>
  <c r="AF20" i="1" s="1"/>
  <c r="AF9" i="1"/>
  <c r="G17" i="2"/>
  <c r="K17" i="2"/>
  <c r="O17" i="2"/>
  <c r="S17" i="2"/>
  <c r="W17" i="2"/>
  <c r="AA17" i="2"/>
  <c r="AE17" i="2"/>
  <c r="AI17" i="2"/>
  <c r="Q23" i="1" l="1"/>
  <c r="Q4" i="3"/>
  <c r="Q8" i="3" s="1"/>
  <c r="Q15" i="3" s="1"/>
  <c r="H4" i="3"/>
  <c r="H8" i="3" s="1"/>
  <c r="H15" i="3" s="1"/>
  <c r="H23" i="1"/>
  <c r="AG4" i="3"/>
  <c r="AG8" i="3" s="1"/>
  <c r="AG15" i="3" s="1"/>
  <c r="AG23" i="1"/>
  <c r="P21" i="1"/>
  <c r="P22" i="1" s="1"/>
  <c r="AD21" i="1"/>
  <c r="AD22" i="1" s="1"/>
  <c r="N21" i="1"/>
  <c r="N22" i="1" s="1"/>
  <c r="AK21" i="1"/>
  <c r="AK22" i="1" s="1"/>
  <c r="M21" i="1"/>
  <c r="M22" i="1"/>
  <c r="E21" i="1"/>
  <c r="E22" i="1" s="1"/>
  <c r="W4" i="3"/>
  <c r="W8" i="3" s="1"/>
  <c r="W15" i="3" s="1"/>
  <c r="W23" i="1"/>
  <c r="S21" i="1"/>
  <c r="S22" i="1" s="1"/>
  <c r="X21" i="1"/>
  <c r="X22" i="1" s="1"/>
  <c r="AB21" i="1"/>
  <c r="AB22" i="1" s="1"/>
  <c r="AL21" i="1"/>
  <c r="AL22" i="1" s="1"/>
  <c r="R21" i="1"/>
  <c r="R22" i="1" s="1"/>
  <c r="Y21" i="1"/>
  <c r="Y22" i="1" s="1"/>
  <c r="T21" i="1"/>
  <c r="T22" i="1" s="1"/>
  <c r="AE21" i="1"/>
  <c r="AE22" i="1" s="1"/>
  <c r="K21" i="1"/>
  <c r="K22" i="1" s="1"/>
  <c r="AI21" i="1"/>
  <c r="AI22" i="1"/>
  <c r="O21" i="1"/>
  <c r="O22" i="1" s="1"/>
  <c r="AF21" i="1"/>
  <c r="AF22" i="1" s="1"/>
  <c r="AH21" i="1"/>
  <c r="AH22" i="1" s="1"/>
  <c r="V21" i="1"/>
  <c r="V22" i="1" s="1"/>
  <c r="J21" i="1"/>
  <c r="J22" i="1" s="1"/>
  <c r="AC21" i="1"/>
  <c r="AC22" i="1" s="1"/>
  <c r="U21" i="1"/>
  <c r="U22" i="1" s="1"/>
  <c r="G21" i="1"/>
  <c r="G22" i="1"/>
  <c r="L21" i="1"/>
  <c r="L22" i="1" s="1"/>
  <c r="Z21" i="1"/>
  <c r="Z22" i="1" s="1"/>
  <c r="F21" i="1"/>
  <c r="F22" i="1" s="1"/>
  <c r="I21" i="1"/>
  <c r="I22" i="1" s="1"/>
  <c r="AJ21" i="1"/>
  <c r="AJ22" i="1" s="1"/>
  <c r="D21" i="1"/>
  <c r="D22" i="1" s="1"/>
  <c r="AA21" i="1"/>
  <c r="AA22" i="1" s="1"/>
  <c r="C21" i="1"/>
  <c r="C22" i="1" s="1"/>
  <c r="J4" i="3" l="1"/>
  <c r="J8" i="3" s="1"/>
  <c r="J15" i="3" s="1"/>
  <c r="J23" i="1"/>
  <c r="O4" i="3"/>
  <c r="O8" i="3" s="1"/>
  <c r="O15" i="3" s="1"/>
  <c r="O23" i="1"/>
  <c r="AE4" i="3"/>
  <c r="AE8" i="3" s="1"/>
  <c r="AE15" i="3" s="1"/>
  <c r="AE23" i="1"/>
  <c r="AL4" i="3"/>
  <c r="AL8" i="3" s="1"/>
  <c r="AL15" i="3" s="1"/>
  <c r="AL23" i="1"/>
  <c r="AD4" i="3"/>
  <c r="AD8" i="3" s="1"/>
  <c r="AD15" i="3" s="1"/>
  <c r="AD23" i="1"/>
  <c r="AA4" i="3"/>
  <c r="AA8" i="3" s="1"/>
  <c r="AA15" i="3" s="1"/>
  <c r="AA23" i="1"/>
  <c r="F4" i="3"/>
  <c r="F8" i="3" s="1"/>
  <c r="F15" i="3" s="1"/>
  <c r="F23" i="1"/>
  <c r="V4" i="3"/>
  <c r="V8" i="3" s="1"/>
  <c r="V15" i="3" s="1"/>
  <c r="V23" i="1"/>
  <c r="T4" i="3"/>
  <c r="T8" i="3" s="1"/>
  <c r="T15" i="3" s="1"/>
  <c r="T23" i="1"/>
  <c r="AB4" i="3"/>
  <c r="AB8" i="3" s="1"/>
  <c r="AB15" i="3" s="1"/>
  <c r="AB23" i="1"/>
  <c r="P4" i="3"/>
  <c r="P8" i="3" s="1"/>
  <c r="P15" i="3" s="1"/>
  <c r="P23" i="1"/>
  <c r="I4" i="3"/>
  <c r="I8" i="3" s="1"/>
  <c r="I15" i="3" s="1"/>
  <c r="I23" i="1"/>
  <c r="D4" i="3"/>
  <c r="D8" i="3" s="1"/>
  <c r="D15" i="3" s="1"/>
  <c r="D23" i="1"/>
  <c r="Z4" i="3"/>
  <c r="Z8" i="3" s="1"/>
  <c r="Z15" i="3" s="1"/>
  <c r="Z23" i="1"/>
  <c r="U4" i="3"/>
  <c r="U8" i="3" s="1"/>
  <c r="U15" i="3" s="1"/>
  <c r="U23" i="1"/>
  <c r="AH4" i="3"/>
  <c r="AH8" i="3" s="1"/>
  <c r="AH15" i="3" s="1"/>
  <c r="AH23" i="1"/>
  <c r="Y4" i="3"/>
  <c r="Y8" i="3" s="1"/>
  <c r="Y15" i="3" s="1"/>
  <c r="Y23" i="1"/>
  <c r="X4" i="3"/>
  <c r="X8" i="3" s="1"/>
  <c r="X15" i="3" s="1"/>
  <c r="X23" i="1"/>
  <c r="AK4" i="3"/>
  <c r="AK8" i="3" s="1"/>
  <c r="AK15" i="3" s="1"/>
  <c r="AK23" i="1"/>
  <c r="AJ4" i="3"/>
  <c r="AJ8" i="3" s="1"/>
  <c r="AJ15" i="3" s="1"/>
  <c r="AJ23" i="1"/>
  <c r="L4" i="3"/>
  <c r="L8" i="3" s="1"/>
  <c r="L15" i="3" s="1"/>
  <c r="L23" i="1"/>
  <c r="AC23" i="1"/>
  <c r="AC4" i="3"/>
  <c r="AC8" i="3" s="1"/>
  <c r="AC15" i="3" s="1"/>
  <c r="AF4" i="3"/>
  <c r="AF8" i="3" s="1"/>
  <c r="AF15" i="3" s="1"/>
  <c r="AF23" i="1"/>
  <c r="K4" i="3"/>
  <c r="K8" i="3" s="1"/>
  <c r="K15" i="3" s="1"/>
  <c r="K23" i="1"/>
  <c r="R4" i="3"/>
  <c r="R8" i="3" s="1"/>
  <c r="R15" i="3" s="1"/>
  <c r="R23" i="1"/>
  <c r="E4" i="3"/>
  <c r="E8" i="3" s="1"/>
  <c r="E15" i="3" s="1"/>
  <c r="E23" i="1"/>
  <c r="N4" i="3"/>
  <c r="N8" i="3" s="1"/>
  <c r="N15" i="3" s="1"/>
  <c r="N23" i="1"/>
  <c r="G4" i="3"/>
  <c r="G8" i="3" s="1"/>
  <c r="G15" i="3" s="1"/>
  <c r="G23" i="1"/>
  <c r="M23" i="1"/>
  <c r="M4" i="3"/>
  <c r="M8" i="3" s="1"/>
  <c r="M15" i="3" s="1"/>
  <c r="C4" i="3"/>
  <c r="C8" i="3" s="1"/>
  <c r="C15" i="3" s="1"/>
  <c r="C17" i="3" s="1"/>
  <c r="C23" i="1"/>
  <c r="AI4" i="3"/>
  <c r="AI8" i="3" s="1"/>
  <c r="AI15" i="3" s="1"/>
  <c r="AI23" i="1"/>
  <c r="S4" i="3"/>
  <c r="S8" i="3" s="1"/>
  <c r="S15" i="3" s="1"/>
  <c r="S23" i="1"/>
  <c r="D16" i="3" l="1"/>
  <c r="D17" i="3" s="1"/>
  <c r="C18" i="3"/>
  <c r="E16" i="3" l="1"/>
  <c r="E17" i="3" s="1"/>
  <c r="D18" i="3"/>
  <c r="F16" i="3" l="1"/>
  <c r="F17" i="3" s="1"/>
  <c r="E18" i="3"/>
  <c r="F18" i="3" l="1"/>
  <c r="G16" i="3"/>
  <c r="G17" i="3" s="1"/>
  <c r="H16" i="3" l="1"/>
  <c r="H17" i="3" s="1"/>
  <c r="G18" i="3"/>
  <c r="I16" i="3" l="1"/>
  <c r="I17" i="3" s="1"/>
  <c r="H18" i="3"/>
  <c r="J16" i="3" l="1"/>
  <c r="J17" i="3" s="1"/>
  <c r="I18" i="3"/>
  <c r="J18" i="3" l="1"/>
  <c r="K16" i="3"/>
  <c r="K17" i="3" s="1"/>
  <c r="L16" i="3" l="1"/>
  <c r="L17" i="3" s="1"/>
  <c r="K18" i="3"/>
  <c r="M16" i="3" l="1"/>
  <c r="M17" i="3" s="1"/>
  <c r="L18" i="3"/>
  <c r="N16" i="3" l="1"/>
  <c r="N17" i="3" s="1"/>
  <c r="M18" i="3"/>
  <c r="N18" i="3" l="1"/>
  <c r="O16" i="3"/>
  <c r="O17" i="3" s="1"/>
  <c r="P16" i="3" l="1"/>
  <c r="P17" i="3" s="1"/>
  <c r="O18" i="3"/>
  <c r="Q16" i="3" l="1"/>
  <c r="Q17" i="3" s="1"/>
  <c r="P18" i="3"/>
  <c r="R16" i="3" l="1"/>
  <c r="R17" i="3" s="1"/>
  <c r="Q18" i="3"/>
  <c r="R18" i="3" l="1"/>
  <c r="S16" i="3"/>
  <c r="S17" i="3" s="1"/>
  <c r="T16" i="3" l="1"/>
  <c r="T17" i="3" s="1"/>
  <c r="S18" i="3"/>
  <c r="U16" i="3" l="1"/>
  <c r="U17" i="3" s="1"/>
  <c r="T18" i="3"/>
  <c r="V16" i="3" l="1"/>
  <c r="V17" i="3" s="1"/>
  <c r="U18" i="3"/>
  <c r="V18" i="3" l="1"/>
  <c r="W16" i="3"/>
  <c r="W17" i="3" s="1"/>
  <c r="X16" i="3" l="1"/>
  <c r="X17" i="3" s="1"/>
  <c r="W18" i="3"/>
  <c r="Y16" i="3" l="1"/>
  <c r="Y17" i="3" s="1"/>
  <c r="X18" i="3"/>
  <c r="Z16" i="3" l="1"/>
  <c r="Z17" i="3" s="1"/>
  <c r="Y18" i="3"/>
  <c r="Z18" i="3" l="1"/>
  <c r="AA16" i="3"/>
  <c r="AA17" i="3" s="1"/>
  <c r="AB16" i="3" l="1"/>
  <c r="AB17" i="3" s="1"/>
  <c r="AA18" i="3"/>
  <c r="AC16" i="3" l="1"/>
  <c r="AC17" i="3" s="1"/>
  <c r="AB18" i="3"/>
  <c r="AD16" i="3" l="1"/>
  <c r="AD17" i="3" s="1"/>
  <c r="AC18" i="3"/>
  <c r="AD18" i="3" l="1"/>
  <c r="AE16" i="3"/>
  <c r="AE17" i="3" s="1"/>
  <c r="AF16" i="3" l="1"/>
  <c r="AF17" i="3" s="1"/>
  <c r="AE18" i="3"/>
  <c r="AG16" i="3" l="1"/>
  <c r="AG17" i="3" s="1"/>
  <c r="AF18" i="3"/>
  <c r="AH16" i="3" l="1"/>
  <c r="AH17" i="3" s="1"/>
  <c r="AG18" i="3"/>
  <c r="AH18" i="3" l="1"/>
  <c r="AI16" i="3"/>
  <c r="AI17" i="3" s="1"/>
  <c r="AJ16" i="3" l="1"/>
  <c r="AJ17" i="3" s="1"/>
  <c r="AI18" i="3"/>
  <c r="AK16" i="3" l="1"/>
  <c r="AK17" i="3" s="1"/>
  <c r="AJ18" i="3"/>
  <c r="AL16" i="3" l="1"/>
  <c r="AL17" i="3" s="1"/>
  <c r="AL18" i="3" s="1"/>
  <c r="AK18" i="3"/>
</calcChain>
</file>

<file path=xl/sharedStrings.xml><?xml version="1.0" encoding="utf-8"?>
<sst xmlns="http://schemas.openxmlformats.org/spreadsheetml/2006/main" count="180" uniqueCount="104">
  <si>
    <t>RETAIL SME - INCOME STATEMENT (Monthly, Jan 2023 - Dec 2025, USD)</t>
  </si>
  <si>
    <t>Line Item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</si>
  <si>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</si>
  <si>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</si>
  <si>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</si>
  <si>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</si>
  <si>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</si>
  <si>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</si>
  <si>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</si>
  <si>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</si>
  <si>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</si>
  <si>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</si>
  <si>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</si>
  <si>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</si>
  <si>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</si>
  <si>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</si>
  <si>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</si>
  <si>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</si>
  <si>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</si>
  <si>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</si>
  <si>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</si>
  <si>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</si>
  <si>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</si>
  <si>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</si>
  <si>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</si>
  <si>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</si>
  <si>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</si>
  <si>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</si>
  <si>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</si>
  <si>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</si>
  <si>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</si>
  <si>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</si>
  <si>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</si>
  <si>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</si>
  <si>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</si>
  <si>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</si>
  <si>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</si>
  <si>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</si>
  <si>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Revenue - Product Sales</t>
  </si>
  <si>
    <t>Revenue - Other</t>
  </si>
  <si>
    <t>Total Revenue</t>
  </si>
  <si>
    <t>COGS</t>
  </si>
  <si>
    <t>Gross Profit</t>
  </si>
  <si>
    <t>Gross Margin %</t>
  </si>
  <si>
    <t>Rent</t>
  </si>
  <si>
    <t>Salaries &amp; Wages</t>
  </si>
  <si>
    <t>Utilities</t>
  </si>
  <si>
    <t>Marketing</t>
  </si>
  <si>
    <t>Transport &amp; Logistics</t>
  </si>
  <si>
    <t>Other Admin Expenses</t>
  </si>
  <si>
    <t>Total Operating Expenses</t>
  </si>
  <si>
    <t>Operating Profit (EBIT)</t>
  </si>
  <si>
    <t>Other Income</t>
  </si>
  <si>
    <t>Interest Expense</t>
  </si>
  <si>
    <t>Profit Before Tax</t>
  </si>
  <si>
    <t>Corporate Income Tax (21%)</t>
  </si>
  <si>
    <t>Net Profit</t>
  </si>
  <si>
    <t>Net Margin %</t>
  </si>
  <si>
    <t>Assumptions:</t>
  </si>
  <si>
    <t>- Blue cells = source data (editable inputs). Black/bold shaded cells = formulas, do not overwrite.</t>
  </si>
  <si>
    <t>- Corporate Income Tax modeled at a flat 21% for simplicity - adjust per actual jurisdiction/tax position.</t>
  </si>
  <si>
    <t>- Interest Expense begins Jul-2023, reflecting an assumed working-capital loan drawn mid-year.</t>
  </si>
  <si>
    <t>- Dataset is synthetic, generated to model a small retail/trading SME (USD) for internship dashboard purposes.</t>
  </si>
  <si>
    <t>RETAIL SME - BALANCE SHEET (Monthly, Jan 2023 - Dec 2025, USD)</t>
  </si>
  <si>
    <t>Cash and Bank</t>
  </si>
  <si>
    <t>Accounts Receivable</t>
  </si>
  <si>
    <t>Inventory</t>
  </si>
  <si>
    <t>Total Current Assets</t>
  </si>
  <si>
    <t>Fixed Assets (Net)</t>
  </si>
  <si>
    <t>Total Assets</t>
  </si>
  <si>
    <t>Accounts Payable</t>
  </si>
  <si>
    <t>Short-Term Loan</t>
  </si>
  <si>
    <t>Total Liabilities</t>
  </si>
  <si>
    <t>Share Capital</t>
  </si>
  <si>
    <t>Retained Earnings</t>
  </si>
  <si>
    <t>Total Equity</t>
  </si>
  <si>
    <t>Total Liabilities + Equity</t>
  </si>
  <si>
    <t>Balance Check (should be 0)</t>
  </si>
  <si>
    <t>- Retained Earnings rolls forward from Net Profit on the Income Statement sheet, less monthly owner drawings.</t>
  </si>
  <si>
    <t>- Accounts Receivable ~ 14-18% of monthly revenue; Inventory ~ 1.1-1.3x monthly COGS; Accounts Payable ~ 18-25% of monthly COGS.</t>
  </si>
  <si>
    <t>- Fixed Assets held at cost (no depreciation modeled, for simplicity); two capex events: Jun-2023 ($3,500) and Aug-2024 ($6,000).</t>
  </si>
  <si>
    <t>- Short-Term Loan of $12,000 drawn Jul-2023 (matches Interest Expense start on Income Statement), repaid over 24 months at $500/month.</t>
  </si>
  <si>
    <t>- Owner drawings begin at $900/month, rising modestly over time.</t>
  </si>
  <si>
    <t>- Balance Check row confirms Total Assets = Total Liabilities + Equity every month (should read 0 throughout).</t>
  </si>
  <si>
    <t>RETAIL SME - CASH FLOW STATEMENT (Indirect Method, Monthly, Jan 2023 - Dec 2025, USD)</t>
  </si>
  <si>
    <t>Net Profit (from Income Statement)</t>
  </si>
  <si>
    <t>(Increase) / Decrease in Accounts Receivable</t>
  </si>
  <si>
    <t>(Increase) / Decrease in Inventory</t>
  </si>
  <si>
    <t>Increase / (Decrease) in Accounts Payable</t>
  </si>
  <si>
    <t>Net Cash from Operating Activities</t>
  </si>
  <si>
    <t>Purchase of Fixed Assets (Capex)</t>
  </si>
  <si>
    <t>Net Cash from Investing Activities</t>
  </si>
  <si>
    <t>Loan Proceeds</t>
  </si>
  <si>
    <t>Loan Repayments</t>
  </si>
  <si>
    <t>Owner Drawings</t>
  </si>
  <si>
    <t>Net Cash from Financing Activities</t>
  </si>
  <si>
    <t>Net Increase / (Decrease) in Cash</t>
  </si>
  <si>
    <t>Opening Cash Balance</t>
  </si>
  <si>
    <t>Closing Cash Balance</t>
  </si>
  <si>
    <t>Tie-out vs Balance Sheet Cash (should be 0)</t>
  </si>
  <si>
    <t>- Indirect method: starts from Net Profit, adjusts for working-capital movements (AR, Inventory, AP) sourced from the Balance Sheet.</t>
  </si>
  <si>
    <t>- Opening balances at Dec-2022 (pre-period): AR $2,200, Inventory $17,000, AP $6,500, Cash $22,000.</t>
  </si>
  <si>
    <t>- Capex, loan proceeds/repayments, and owner drawings are the same source figures used to build the Balance Sheet, so the statements tie out exactly.</t>
  </si>
  <si>
    <t>- Green cells link to another sheet (Income Statement / Balance Sheet). Blue cells are inputs. The Tie-out row confirms Closing Cash matches the Balance Sheet's Cash and Bank line every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</si>
</sst>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b/>
      <i/>
      <sz val="11"/>
      <name val="Arial"/>
      <charset val="1"/>
    </font>
    <font>
      <i/>
      <sz val="9"/>
      <color rgb="FF555555"/>
      <name val="Arial"/>
      <charset val="1"/>
    </font>
    <font>
      <i/>
      <sz val="11"/>
      <name val="Arial"/>
      <charset val="1"/>
    </font>
    <font>
      <sz val="11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D9E1D3"/>
        <bgColor rgb="FFCCFF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164" fontId="4" fillId="0" borderId="1" xfId="0" applyNumberFormat="1" applyFont="1" applyBorder="1"/>
    <xf numFmtId="0" fontId="5" fillId="0" borderId="0" xfId="0" applyFont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9" fillId="0" borderId="1" xfId="0" applyNumberFormat="1" applyFont="1" applyBorder="1"/>
    <xf numFmtId="164" fontId="0" fillId="0" borderId="1" xfId="0" applyNumberFormat="1" applyBorder="1"/>
    <xf numFmtId="164" fontId="9" fillId="3" borderId="1" xfId="0" applyNumberFormat="1" applyFont="1" applyFill="1" applyBorder="1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30"/>
  <sheetViews>
    <sheetView zoomScaleNormal="100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C17" sqref="C17"/>
    </sheetView>
  </sheetViews>
  <sheetFormatPr defaultColWidth="8.6640625" defaultRowHeight="14.4" x14ac:dyDescent="0.3"/>
  <cols>
    <col min="1" max="1" width="4.21875" customWidth="1"/>
    <col min="2" max="2" width="83" bestFit="1" customWidth="1"/>
    <col min="3" max="38" width="11" customWidth="1"/>
  </cols>
  <sheetData>
    <row r="1" spans="2:38" ht="24" customHeight="1" x14ac:dyDescent="0.3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3" spans="2:38" x14ac:dyDescent="0.3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</row>
    <row r="4" spans="2:38" x14ac:dyDescent="0.3">
      <c r="B4" s="3" t="s">
        <v>38</v>
      </c>
      <c r="C4" s="4">
        <v>22956</v>
      </c>
      <c r="D4" s="4">
        <v>23919</v>
      </c>
      <c r="E4" s="4">
        <v>23684</v>
      </c>
      <c r="F4" s="4">
        <v>30399</v>
      </c>
      <c r="G4" s="4">
        <v>28486</v>
      </c>
      <c r="H4" s="4">
        <v>27823</v>
      </c>
      <c r="I4" s="4">
        <v>27366</v>
      </c>
      <c r="J4" s="4">
        <v>29238</v>
      </c>
      <c r="K4" s="4">
        <v>29761</v>
      </c>
      <c r="L4" s="4">
        <v>35339</v>
      </c>
      <c r="M4" s="4">
        <v>39395</v>
      </c>
      <c r="N4" s="4">
        <v>52841</v>
      </c>
      <c r="O4" s="4">
        <v>25966</v>
      </c>
      <c r="P4" s="4">
        <v>25030</v>
      </c>
      <c r="Q4" s="4">
        <v>33591</v>
      </c>
      <c r="R4" s="4">
        <v>33780</v>
      </c>
      <c r="S4" s="4">
        <v>34252</v>
      </c>
      <c r="T4" s="4">
        <v>29286</v>
      </c>
      <c r="U4" s="4">
        <v>30338</v>
      </c>
      <c r="V4" s="4">
        <v>31632</v>
      </c>
      <c r="W4" s="4">
        <v>38577</v>
      </c>
      <c r="X4" s="4">
        <v>41296</v>
      </c>
      <c r="Y4" s="4">
        <v>44180</v>
      </c>
      <c r="Z4" s="4">
        <v>60833</v>
      </c>
      <c r="AA4" s="4">
        <v>30162</v>
      </c>
      <c r="AB4" s="4">
        <v>33428</v>
      </c>
      <c r="AC4" s="4">
        <v>37042</v>
      </c>
      <c r="AD4" s="4">
        <v>40457</v>
      </c>
      <c r="AE4" s="4">
        <v>37009</v>
      </c>
      <c r="AF4" s="4">
        <v>38501</v>
      </c>
      <c r="AG4" s="4">
        <v>36428</v>
      </c>
      <c r="AH4" s="4">
        <v>34963</v>
      </c>
      <c r="AI4" s="4">
        <v>41639</v>
      </c>
      <c r="AJ4" s="4">
        <v>46244</v>
      </c>
      <c r="AK4" s="4">
        <v>45898</v>
      </c>
      <c r="AL4" s="4">
        <v>67065</v>
      </c>
    </row>
    <row r="5" spans="2:38" x14ac:dyDescent="0.3">
      <c r="B5" s="3" t="s">
        <v>39</v>
      </c>
      <c r="C5" s="4">
        <v>963</v>
      </c>
      <c r="D5" s="4">
        <v>986</v>
      </c>
      <c r="E5" s="4">
        <v>681</v>
      </c>
      <c r="F5" s="4">
        <v>790</v>
      </c>
      <c r="G5" s="4">
        <v>1154</v>
      </c>
      <c r="H5" s="4">
        <v>817</v>
      </c>
      <c r="I5" s="4">
        <v>1304</v>
      </c>
      <c r="J5" s="4">
        <v>898</v>
      </c>
      <c r="K5" s="4">
        <v>600</v>
      </c>
      <c r="L5" s="4">
        <v>830</v>
      </c>
      <c r="M5" s="4">
        <v>1836</v>
      </c>
      <c r="N5" s="4">
        <v>1840</v>
      </c>
      <c r="O5" s="4">
        <v>1226</v>
      </c>
      <c r="P5" s="4">
        <v>1199</v>
      </c>
      <c r="Q5" s="4">
        <v>1575</v>
      </c>
      <c r="R5" s="4">
        <v>683</v>
      </c>
      <c r="S5" s="4">
        <v>1407</v>
      </c>
      <c r="T5" s="4">
        <v>836</v>
      </c>
      <c r="U5" s="4">
        <v>1052</v>
      </c>
      <c r="V5" s="4">
        <v>982</v>
      </c>
      <c r="W5" s="4">
        <v>791</v>
      </c>
      <c r="X5" s="4">
        <v>1986</v>
      </c>
      <c r="Y5" s="4">
        <v>1586</v>
      </c>
      <c r="Z5" s="4">
        <v>1854</v>
      </c>
      <c r="AA5" s="4">
        <v>612</v>
      </c>
      <c r="AB5" s="4">
        <v>1322</v>
      </c>
      <c r="AC5" s="4">
        <v>1372</v>
      </c>
      <c r="AD5" s="4">
        <v>1892</v>
      </c>
      <c r="AE5" s="4">
        <v>1784</v>
      </c>
      <c r="AF5" s="4">
        <v>1887</v>
      </c>
      <c r="AG5" s="4">
        <v>1752</v>
      </c>
      <c r="AH5" s="4">
        <v>1620</v>
      </c>
      <c r="AI5" s="4">
        <v>1974</v>
      </c>
      <c r="AJ5" s="4">
        <v>2160</v>
      </c>
      <c r="AK5" s="4">
        <v>1732</v>
      </c>
      <c r="AL5" s="4">
        <v>2890</v>
      </c>
    </row>
    <row r="6" spans="2:38" x14ac:dyDescent="0.3">
      <c r="B6" s="5" t="s">
        <v>40</v>
      </c>
      <c r="C6" s="6">
        <f t="shared" ref="C6:AL6" si="0">C4+C5</f>
        <v>23919</v>
      </c>
      <c r="D6" s="6">
        <f t="shared" si="0"/>
        <v>24905</v>
      </c>
      <c r="E6" s="6">
        <f t="shared" si="0"/>
        <v>24365</v>
      </c>
      <c r="F6" s="6">
        <f t="shared" si="0"/>
        <v>31189</v>
      </c>
      <c r="G6" s="6">
        <f t="shared" si="0"/>
        <v>29640</v>
      </c>
      <c r="H6" s="6">
        <f t="shared" si="0"/>
        <v>28640</v>
      </c>
      <c r="I6" s="6">
        <f t="shared" si="0"/>
        <v>28670</v>
      </c>
      <c r="J6" s="6">
        <f t="shared" si="0"/>
        <v>30136</v>
      </c>
      <c r="K6" s="6">
        <f t="shared" si="0"/>
        <v>30361</v>
      </c>
      <c r="L6" s="6">
        <f t="shared" si="0"/>
        <v>36169</v>
      </c>
      <c r="M6" s="6">
        <f t="shared" si="0"/>
        <v>41231</v>
      </c>
      <c r="N6" s="6">
        <f t="shared" si="0"/>
        <v>54681</v>
      </c>
      <c r="O6" s="6">
        <f t="shared" si="0"/>
        <v>27192</v>
      </c>
      <c r="P6" s="6">
        <f t="shared" si="0"/>
        <v>26229</v>
      </c>
      <c r="Q6" s="6">
        <f t="shared" si="0"/>
        <v>35166</v>
      </c>
      <c r="R6" s="6">
        <f t="shared" si="0"/>
        <v>34463</v>
      </c>
      <c r="S6" s="6">
        <f t="shared" si="0"/>
        <v>35659</v>
      </c>
      <c r="T6" s="6">
        <f t="shared" si="0"/>
        <v>30122</v>
      </c>
      <c r="U6" s="6">
        <f t="shared" si="0"/>
        <v>31390</v>
      </c>
      <c r="V6" s="6">
        <f t="shared" si="0"/>
        <v>32614</v>
      </c>
      <c r="W6" s="6">
        <f t="shared" si="0"/>
        <v>39368</v>
      </c>
      <c r="X6" s="6">
        <f t="shared" si="0"/>
        <v>43282</v>
      </c>
      <c r="Y6" s="6">
        <f t="shared" si="0"/>
        <v>45766</v>
      </c>
      <c r="Z6" s="6">
        <f t="shared" si="0"/>
        <v>62687</v>
      </c>
      <c r="AA6" s="6">
        <f t="shared" si="0"/>
        <v>30774</v>
      </c>
      <c r="AB6" s="6">
        <f t="shared" si="0"/>
        <v>34750</v>
      </c>
      <c r="AC6" s="6">
        <f t="shared" si="0"/>
        <v>38414</v>
      </c>
      <c r="AD6" s="6">
        <f t="shared" si="0"/>
        <v>42349</v>
      </c>
      <c r="AE6" s="6">
        <f t="shared" si="0"/>
        <v>38793</v>
      </c>
      <c r="AF6" s="6">
        <f t="shared" si="0"/>
        <v>40388</v>
      </c>
      <c r="AG6" s="6">
        <f t="shared" si="0"/>
        <v>38180</v>
      </c>
      <c r="AH6" s="6">
        <f t="shared" si="0"/>
        <v>36583</v>
      </c>
      <c r="AI6" s="6">
        <f t="shared" si="0"/>
        <v>43613</v>
      </c>
      <c r="AJ6" s="6">
        <f t="shared" si="0"/>
        <v>48404</v>
      </c>
      <c r="AK6" s="6">
        <f t="shared" si="0"/>
        <v>47630</v>
      </c>
      <c r="AL6" s="6">
        <f t="shared" si="0"/>
        <v>69955</v>
      </c>
    </row>
    <row r="7" spans="2:38" x14ac:dyDescent="0.3">
      <c r="B7" s="3" t="s">
        <v>41</v>
      </c>
      <c r="C7" s="4">
        <v>14732</v>
      </c>
      <c r="D7" s="4">
        <v>14476</v>
      </c>
      <c r="E7" s="4">
        <v>15026</v>
      </c>
      <c r="F7" s="4">
        <v>19052</v>
      </c>
      <c r="G7" s="4">
        <v>17974</v>
      </c>
      <c r="H7" s="4">
        <v>17505</v>
      </c>
      <c r="I7" s="4">
        <v>16781</v>
      </c>
      <c r="J7" s="4">
        <v>17987</v>
      </c>
      <c r="K7" s="4">
        <v>19095</v>
      </c>
      <c r="L7" s="4">
        <v>22851</v>
      </c>
      <c r="M7" s="4">
        <v>25082</v>
      </c>
      <c r="N7" s="4">
        <v>33430</v>
      </c>
      <c r="O7" s="4">
        <v>16178</v>
      </c>
      <c r="P7" s="4">
        <v>16485</v>
      </c>
      <c r="Q7" s="4">
        <v>21067</v>
      </c>
      <c r="R7" s="4">
        <v>21045</v>
      </c>
      <c r="S7" s="4">
        <v>21460</v>
      </c>
      <c r="T7" s="4">
        <v>17537</v>
      </c>
      <c r="U7" s="4">
        <v>20063</v>
      </c>
      <c r="V7" s="4">
        <v>20153</v>
      </c>
      <c r="W7" s="4">
        <v>24043</v>
      </c>
      <c r="X7" s="4">
        <v>25461</v>
      </c>
      <c r="Y7" s="4">
        <v>27208</v>
      </c>
      <c r="Z7" s="4">
        <v>39089</v>
      </c>
      <c r="AA7" s="4">
        <v>18036</v>
      </c>
      <c r="AB7" s="4">
        <v>20623</v>
      </c>
      <c r="AC7" s="4">
        <v>22496</v>
      </c>
      <c r="AD7" s="4">
        <v>26166</v>
      </c>
      <c r="AE7" s="4">
        <v>24720</v>
      </c>
      <c r="AF7" s="4">
        <v>25760</v>
      </c>
      <c r="AG7" s="4">
        <v>23739</v>
      </c>
      <c r="AH7" s="4">
        <v>22844</v>
      </c>
      <c r="AI7" s="4">
        <v>26634</v>
      </c>
      <c r="AJ7" s="4">
        <v>29056</v>
      </c>
      <c r="AK7" s="4">
        <v>27713</v>
      </c>
      <c r="AL7" s="4">
        <v>41480</v>
      </c>
    </row>
    <row r="8" spans="2:38" x14ac:dyDescent="0.3">
      <c r="B8" s="5" t="s">
        <v>42</v>
      </c>
      <c r="C8" s="6">
        <f t="shared" ref="C8:AL8" si="1">C6-C7</f>
        <v>9187</v>
      </c>
      <c r="D8" s="6">
        <f t="shared" si="1"/>
        <v>10429</v>
      </c>
      <c r="E8" s="6">
        <f t="shared" si="1"/>
        <v>9339</v>
      </c>
      <c r="F8" s="6">
        <f t="shared" si="1"/>
        <v>12137</v>
      </c>
      <c r="G8" s="6">
        <f t="shared" si="1"/>
        <v>11666</v>
      </c>
      <c r="H8" s="6">
        <f t="shared" si="1"/>
        <v>11135</v>
      </c>
      <c r="I8" s="6">
        <f t="shared" si="1"/>
        <v>11889</v>
      </c>
      <c r="J8" s="6">
        <f t="shared" si="1"/>
        <v>12149</v>
      </c>
      <c r="K8" s="6">
        <f t="shared" si="1"/>
        <v>11266</v>
      </c>
      <c r="L8" s="6">
        <f t="shared" si="1"/>
        <v>13318</v>
      </c>
      <c r="M8" s="6">
        <f t="shared" si="1"/>
        <v>16149</v>
      </c>
      <c r="N8" s="6">
        <f t="shared" si="1"/>
        <v>21251</v>
      </c>
      <c r="O8" s="6">
        <f t="shared" si="1"/>
        <v>11014</v>
      </c>
      <c r="P8" s="6">
        <f t="shared" si="1"/>
        <v>9744</v>
      </c>
      <c r="Q8" s="6">
        <f t="shared" si="1"/>
        <v>14099</v>
      </c>
      <c r="R8" s="6">
        <f t="shared" si="1"/>
        <v>13418</v>
      </c>
      <c r="S8" s="6">
        <f t="shared" si="1"/>
        <v>14199</v>
      </c>
      <c r="T8" s="6">
        <f t="shared" si="1"/>
        <v>12585</v>
      </c>
      <c r="U8" s="6">
        <f t="shared" si="1"/>
        <v>11327</v>
      </c>
      <c r="V8" s="6">
        <f t="shared" si="1"/>
        <v>12461</v>
      </c>
      <c r="W8" s="6">
        <f t="shared" si="1"/>
        <v>15325</v>
      </c>
      <c r="X8" s="6">
        <f t="shared" si="1"/>
        <v>17821</v>
      </c>
      <c r="Y8" s="6">
        <f t="shared" si="1"/>
        <v>18558</v>
      </c>
      <c r="Z8" s="6">
        <f t="shared" si="1"/>
        <v>23598</v>
      </c>
      <c r="AA8" s="6">
        <f t="shared" si="1"/>
        <v>12738</v>
      </c>
      <c r="AB8" s="6">
        <f t="shared" si="1"/>
        <v>14127</v>
      </c>
      <c r="AC8" s="6">
        <f t="shared" si="1"/>
        <v>15918</v>
      </c>
      <c r="AD8" s="6">
        <f t="shared" si="1"/>
        <v>16183</v>
      </c>
      <c r="AE8" s="6">
        <f t="shared" si="1"/>
        <v>14073</v>
      </c>
      <c r="AF8" s="6">
        <f t="shared" si="1"/>
        <v>14628</v>
      </c>
      <c r="AG8" s="6">
        <f t="shared" si="1"/>
        <v>14441</v>
      </c>
      <c r="AH8" s="6">
        <f t="shared" si="1"/>
        <v>13739</v>
      </c>
      <c r="AI8" s="6">
        <f t="shared" si="1"/>
        <v>16979</v>
      </c>
      <c r="AJ8" s="6">
        <f t="shared" si="1"/>
        <v>19348</v>
      </c>
      <c r="AK8" s="6">
        <f t="shared" si="1"/>
        <v>19917</v>
      </c>
      <c r="AL8" s="6">
        <f t="shared" si="1"/>
        <v>28475</v>
      </c>
    </row>
    <row r="9" spans="2:38" x14ac:dyDescent="0.3">
      <c r="B9" s="5" t="s">
        <v>43</v>
      </c>
      <c r="C9" s="7">
        <f t="shared" ref="C9:AL9" si="2">IFERROR(C8/C6,0)</f>
        <v>0.3840879635436264</v>
      </c>
      <c r="D9" s="7">
        <f t="shared" si="2"/>
        <v>0.41875125476811886</v>
      </c>
      <c r="E9" s="7">
        <f t="shared" si="2"/>
        <v>0.38329571106094806</v>
      </c>
      <c r="F9" s="7">
        <f t="shared" si="2"/>
        <v>0.38914360832344735</v>
      </c>
      <c r="G9" s="7">
        <f t="shared" si="2"/>
        <v>0.39358974358974358</v>
      </c>
      <c r="H9" s="7">
        <f t="shared" si="2"/>
        <v>0.38879189944134079</v>
      </c>
      <c r="I9" s="7">
        <f t="shared" si="2"/>
        <v>0.41468433903034529</v>
      </c>
      <c r="J9" s="7">
        <f t="shared" si="2"/>
        <v>0.40313910273427128</v>
      </c>
      <c r="K9" s="7">
        <f t="shared" si="2"/>
        <v>0.37106814663548632</v>
      </c>
      <c r="L9" s="7">
        <f t="shared" si="2"/>
        <v>0.36821587547347173</v>
      </c>
      <c r="M9" s="7">
        <f t="shared" si="2"/>
        <v>0.39167131527248916</v>
      </c>
      <c r="N9" s="7">
        <f t="shared" si="2"/>
        <v>0.38863590643916535</v>
      </c>
      <c r="O9" s="7">
        <f t="shared" si="2"/>
        <v>0.40504560164754339</v>
      </c>
      <c r="P9" s="7">
        <f t="shared" si="2"/>
        <v>0.37149719775820655</v>
      </c>
      <c r="Q9" s="7">
        <f t="shared" si="2"/>
        <v>0.4009270317920719</v>
      </c>
      <c r="R9" s="7">
        <f t="shared" si="2"/>
        <v>0.38934509473928564</v>
      </c>
      <c r="S9" s="7">
        <f t="shared" si="2"/>
        <v>0.3981883956364452</v>
      </c>
      <c r="T9" s="7">
        <f t="shared" si="2"/>
        <v>0.41780094283248126</v>
      </c>
      <c r="U9" s="7">
        <f t="shared" si="2"/>
        <v>0.36084740363172985</v>
      </c>
      <c r="V9" s="7">
        <f t="shared" si="2"/>
        <v>0.38207518243699023</v>
      </c>
      <c r="W9" s="7">
        <f t="shared" si="2"/>
        <v>0.38927555374923795</v>
      </c>
      <c r="X9" s="7">
        <f t="shared" si="2"/>
        <v>0.41174160158957535</v>
      </c>
      <c r="Y9" s="7">
        <f t="shared" si="2"/>
        <v>0.40549753091814883</v>
      </c>
      <c r="Z9" s="7">
        <f t="shared" si="2"/>
        <v>0.37644168647406956</v>
      </c>
      <c r="AA9" s="7">
        <f t="shared" si="2"/>
        <v>0.41392084226944825</v>
      </c>
      <c r="AB9" s="7">
        <f t="shared" si="2"/>
        <v>0.40653237410071941</v>
      </c>
      <c r="AC9" s="7">
        <f t="shared" si="2"/>
        <v>0.41438017389493415</v>
      </c>
      <c r="AD9" s="7">
        <f t="shared" si="2"/>
        <v>0.3821341708186734</v>
      </c>
      <c r="AE9" s="7">
        <f t="shared" si="2"/>
        <v>0.36277163405769081</v>
      </c>
      <c r="AF9" s="7">
        <f t="shared" si="2"/>
        <v>0.36218678815489752</v>
      </c>
      <c r="AG9" s="7">
        <f t="shared" si="2"/>
        <v>0.37823467784180198</v>
      </c>
      <c r="AH9" s="7">
        <f t="shared" si="2"/>
        <v>0.37555695268294015</v>
      </c>
      <c r="AI9" s="7">
        <f t="shared" si="2"/>
        <v>0.3893105266778254</v>
      </c>
      <c r="AJ9" s="7">
        <f t="shared" si="2"/>
        <v>0.39971903148500126</v>
      </c>
      <c r="AK9" s="7">
        <f t="shared" si="2"/>
        <v>0.41816082301070756</v>
      </c>
      <c r="AL9" s="7">
        <f t="shared" si="2"/>
        <v>0.40704738760631837</v>
      </c>
    </row>
    <row r="10" spans="2:38" x14ac:dyDescent="0.3">
      <c r="B10" s="3" t="s">
        <v>44</v>
      </c>
      <c r="C10" s="4">
        <v>1200</v>
      </c>
      <c r="D10" s="4">
        <v>1200</v>
      </c>
      <c r="E10" s="4">
        <v>1200</v>
      </c>
      <c r="F10" s="4">
        <v>1200</v>
      </c>
      <c r="G10" s="4">
        <v>1200</v>
      </c>
      <c r="H10" s="4">
        <v>1200</v>
      </c>
      <c r="I10" s="4">
        <v>1200</v>
      </c>
      <c r="J10" s="4">
        <v>1200</v>
      </c>
      <c r="K10" s="4">
        <v>1200</v>
      </c>
      <c r="L10" s="4">
        <v>1200</v>
      </c>
      <c r="M10" s="4">
        <v>1200</v>
      </c>
      <c r="N10" s="4">
        <v>1200</v>
      </c>
      <c r="O10" s="4">
        <v>1200</v>
      </c>
      <c r="P10" s="4">
        <v>1200</v>
      </c>
      <c r="Q10" s="4">
        <v>1200</v>
      </c>
      <c r="R10" s="4">
        <v>1200</v>
      </c>
      <c r="S10" s="4">
        <v>1200</v>
      </c>
      <c r="T10" s="4">
        <v>1200</v>
      </c>
      <c r="U10" s="4">
        <v>1200</v>
      </c>
      <c r="V10" s="4">
        <v>1200</v>
      </c>
      <c r="W10" s="4">
        <v>1200</v>
      </c>
      <c r="X10" s="4">
        <v>1200</v>
      </c>
      <c r="Y10" s="4">
        <v>1200</v>
      </c>
      <c r="Z10" s="4">
        <v>1200</v>
      </c>
      <c r="AA10" s="4">
        <v>1200</v>
      </c>
      <c r="AB10" s="4">
        <v>1200</v>
      </c>
      <c r="AC10" s="4">
        <v>1200</v>
      </c>
      <c r="AD10" s="4">
        <v>1200</v>
      </c>
      <c r="AE10" s="4">
        <v>1200</v>
      </c>
      <c r="AF10" s="4">
        <v>1200</v>
      </c>
      <c r="AG10" s="4">
        <v>1200</v>
      </c>
      <c r="AH10" s="4">
        <v>1200</v>
      </c>
      <c r="AI10" s="4">
        <v>1200</v>
      </c>
      <c r="AJ10" s="4">
        <v>1200</v>
      </c>
      <c r="AK10" s="4">
        <v>1200</v>
      </c>
      <c r="AL10" s="4">
        <v>1200</v>
      </c>
    </row>
    <row r="11" spans="2:38" x14ac:dyDescent="0.3">
      <c r="B11" s="3" t="s">
        <v>45</v>
      </c>
      <c r="C11" s="4">
        <v>6500</v>
      </c>
      <c r="D11" s="4">
        <v>6532</v>
      </c>
      <c r="E11" s="4">
        <v>6565</v>
      </c>
      <c r="F11" s="4">
        <v>6598</v>
      </c>
      <c r="G11" s="4">
        <v>6631</v>
      </c>
      <c r="H11" s="4">
        <v>6664</v>
      </c>
      <c r="I11" s="4">
        <v>6697</v>
      </c>
      <c r="J11" s="4">
        <v>6731</v>
      </c>
      <c r="K11" s="4">
        <v>6765</v>
      </c>
      <c r="L11" s="4">
        <v>6798</v>
      </c>
      <c r="M11" s="4">
        <v>6832</v>
      </c>
      <c r="N11" s="4">
        <v>6867</v>
      </c>
      <c r="O11" s="4">
        <v>6901</v>
      </c>
      <c r="P11" s="4">
        <v>6935</v>
      </c>
      <c r="Q11" s="4">
        <v>6970</v>
      </c>
      <c r="R11" s="4">
        <v>7005</v>
      </c>
      <c r="S11" s="4">
        <v>7040</v>
      </c>
      <c r="T11" s="4">
        <v>7075</v>
      </c>
      <c r="U11" s="4">
        <v>7111</v>
      </c>
      <c r="V11" s="4">
        <v>7146</v>
      </c>
      <c r="W11" s="4">
        <v>7182</v>
      </c>
      <c r="X11" s="4">
        <v>7218</v>
      </c>
      <c r="Y11" s="4">
        <v>7254</v>
      </c>
      <c r="Z11" s="4">
        <v>7290</v>
      </c>
      <c r="AA11" s="4">
        <v>7327</v>
      </c>
      <c r="AB11" s="4">
        <v>7363</v>
      </c>
      <c r="AC11" s="4">
        <v>7400</v>
      </c>
      <c r="AD11" s="4">
        <v>7437</v>
      </c>
      <c r="AE11" s="4">
        <v>7474</v>
      </c>
      <c r="AF11" s="4">
        <v>7512</v>
      </c>
      <c r="AG11" s="4">
        <v>7549</v>
      </c>
      <c r="AH11" s="4">
        <v>7587</v>
      </c>
      <c r="AI11" s="4">
        <v>7625</v>
      </c>
      <c r="AJ11" s="4">
        <v>7663</v>
      </c>
      <c r="AK11" s="4">
        <v>7701</v>
      </c>
      <c r="AL11" s="4">
        <v>7740</v>
      </c>
    </row>
    <row r="12" spans="2:38" x14ac:dyDescent="0.3">
      <c r="B12" s="3" t="s">
        <v>46</v>
      </c>
      <c r="C12" s="4">
        <v>434</v>
      </c>
      <c r="D12" s="4">
        <v>613</v>
      </c>
      <c r="E12" s="4">
        <v>431</v>
      </c>
      <c r="F12" s="4">
        <v>530</v>
      </c>
      <c r="G12" s="4">
        <v>427</v>
      </c>
      <c r="H12" s="4">
        <v>520</v>
      </c>
      <c r="I12" s="4">
        <v>443</v>
      </c>
      <c r="J12" s="4">
        <v>519</v>
      </c>
      <c r="K12" s="4">
        <v>556</v>
      </c>
      <c r="L12" s="4">
        <v>537</v>
      </c>
      <c r="M12" s="4">
        <v>426</v>
      </c>
      <c r="N12" s="4">
        <v>494</v>
      </c>
      <c r="O12" s="4">
        <v>490</v>
      </c>
      <c r="P12" s="4">
        <v>539</v>
      </c>
      <c r="Q12" s="4">
        <v>424</v>
      </c>
      <c r="R12" s="4">
        <v>492</v>
      </c>
      <c r="S12" s="4">
        <v>614</v>
      </c>
      <c r="T12" s="4">
        <v>534</v>
      </c>
      <c r="U12" s="4">
        <v>453</v>
      </c>
      <c r="V12" s="4">
        <v>539</v>
      </c>
      <c r="W12" s="4">
        <v>450</v>
      </c>
      <c r="X12" s="4">
        <v>475</v>
      </c>
      <c r="Y12" s="4">
        <v>420</v>
      </c>
      <c r="Z12" s="4">
        <v>597</v>
      </c>
      <c r="AA12" s="4">
        <v>546</v>
      </c>
      <c r="AB12" s="4">
        <v>557</v>
      </c>
      <c r="AC12" s="4">
        <v>481</v>
      </c>
      <c r="AD12" s="4">
        <v>575</v>
      </c>
      <c r="AE12" s="4">
        <v>601</v>
      </c>
      <c r="AF12" s="4">
        <v>588</v>
      </c>
      <c r="AG12" s="4">
        <v>525</v>
      </c>
      <c r="AH12" s="4">
        <v>553</v>
      </c>
      <c r="AI12" s="4">
        <v>510</v>
      </c>
      <c r="AJ12" s="4">
        <v>483</v>
      </c>
      <c r="AK12" s="4">
        <v>408</v>
      </c>
      <c r="AL12" s="4">
        <v>537</v>
      </c>
    </row>
    <row r="13" spans="2:38" x14ac:dyDescent="0.3">
      <c r="B13" s="3" t="s">
        <v>47</v>
      </c>
      <c r="C13" s="4">
        <v>415</v>
      </c>
      <c r="D13" s="4">
        <v>685</v>
      </c>
      <c r="E13" s="4">
        <v>472</v>
      </c>
      <c r="F13" s="4">
        <v>490</v>
      </c>
      <c r="G13" s="4">
        <v>665</v>
      </c>
      <c r="H13" s="4">
        <v>509</v>
      </c>
      <c r="I13" s="4">
        <v>449</v>
      </c>
      <c r="J13" s="4">
        <v>516</v>
      </c>
      <c r="K13" s="4">
        <v>787</v>
      </c>
      <c r="L13" s="4">
        <v>722</v>
      </c>
      <c r="M13" s="4">
        <v>1060</v>
      </c>
      <c r="N13" s="4">
        <v>841</v>
      </c>
      <c r="O13" s="4">
        <v>716</v>
      </c>
      <c r="P13" s="4">
        <v>736</v>
      </c>
      <c r="Q13" s="4">
        <v>648</v>
      </c>
      <c r="R13" s="4">
        <v>632</v>
      </c>
      <c r="S13" s="4">
        <v>1050</v>
      </c>
      <c r="T13" s="4">
        <v>679</v>
      </c>
      <c r="U13" s="4">
        <v>787</v>
      </c>
      <c r="V13" s="4">
        <v>751</v>
      </c>
      <c r="W13" s="4">
        <v>972</v>
      </c>
      <c r="X13" s="4">
        <v>723</v>
      </c>
      <c r="Y13" s="4">
        <v>1302</v>
      </c>
      <c r="Z13" s="4">
        <v>1774</v>
      </c>
      <c r="AA13" s="4">
        <v>464</v>
      </c>
      <c r="AB13" s="4">
        <v>645</v>
      </c>
      <c r="AC13" s="4">
        <v>729</v>
      </c>
      <c r="AD13" s="4">
        <v>955</v>
      </c>
      <c r="AE13" s="4">
        <v>797</v>
      </c>
      <c r="AF13" s="4">
        <v>784</v>
      </c>
      <c r="AG13" s="4">
        <v>628</v>
      </c>
      <c r="AH13" s="4">
        <v>934</v>
      </c>
      <c r="AI13" s="4">
        <v>1176</v>
      </c>
      <c r="AJ13" s="4">
        <v>794</v>
      </c>
      <c r="AK13" s="4">
        <v>1302</v>
      </c>
      <c r="AL13" s="4">
        <v>1139</v>
      </c>
    </row>
    <row r="14" spans="2:38" x14ac:dyDescent="0.3">
      <c r="B14" s="3" t="s">
        <v>48</v>
      </c>
      <c r="C14" s="4">
        <v>499</v>
      </c>
      <c r="D14" s="4">
        <v>577</v>
      </c>
      <c r="E14" s="4">
        <v>621</v>
      </c>
      <c r="F14" s="4">
        <v>908</v>
      </c>
      <c r="G14" s="4">
        <v>608</v>
      </c>
      <c r="H14" s="4">
        <v>989</v>
      </c>
      <c r="I14" s="4">
        <v>713</v>
      </c>
      <c r="J14" s="4">
        <v>965</v>
      </c>
      <c r="K14" s="4">
        <v>958</v>
      </c>
      <c r="L14" s="4">
        <v>758</v>
      </c>
      <c r="M14" s="4">
        <v>1295</v>
      </c>
      <c r="N14" s="4">
        <v>1182</v>
      </c>
      <c r="O14" s="4">
        <v>637</v>
      </c>
      <c r="P14" s="4">
        <v>841</v>
      </c>
      <c r="Q14" s="4">
        <v>929</v>
      </c>
      <c r="R14" s="4">
        <v>751</v>
      </c>
      <c r="S14" s="4">
        <v>848</v>
      </c>
      <c r="T14" s="4">
        <v>626</v>
      </c>
      <c r="U14" s="4">
        <v>986</v>
      </c>
      <c r="V14" s="4">
        <v>696</v>
      </c>
      <c r="W14" s="4">
        <v>890</v>
      </c>
      <c r="X14" s="4">
        <v>1466</v>
      </c>
      <c r="Y14" s="4">
        <v>1533</v>
      </c>
      <c r="Z14" s="4">
        <v>1987</v>
      </c>
      <c r="AA14" s="4">
        <v>690</v>
      </c>
      <c r="AB14" s="4">
        <v>865</v>
      </c>
      <c r="AC14" s="4">
        <v>909</v>
      </c>
      <c r="AD14" s="4">
        <v>1213</v>
      </c>
      <c r="AE14" s="4">
        <v>785</v>
      </c>
      <c r="AF14" s="4">
        <v>1041</v>
      </c>
      <c r="AG14" s="4">
        <v>1116</v>
      </c>
      <c r="AH14" s="4">
        <v>929</v>
      </c>
      <c r="AI14" s="4">
        <v>1297</v>
      </c>
      <c r="AJ14" s="4">
        <v>1388</v>
      </c>
      <c r="AK14" s="4">
        <v>1210</v>
      </c>
      <c r="AL14" s="4">
        <v>1453</v>
      </c>
    </row>
    <row r="15" spans="2:38" x14ac:dyDescent="0.3">
      <c r="B15" s="3" t="s">
        <v>49</v>
      </c>
      <c r="C15" s="4">
        <v>696</v>
      </c>
      <c r="D15" s="4">
        <v>423</v>
      </c>
      <c r="E15" s="4">
        <v>532</v>
      </c>
      <c r="F15" s="4">
        <v>418</v>
      </c>
      <c r="G15" s="4">
        <v>714</v>
      </c>
      <c r="H15" s="4">
        <v>660</v>
      </c>
      <c r="I15" s="4">
        <v>505</v>
      </c>
      <c r="J15" s="4">
        <v>380</v>
      </c>
      <c r="K15" s="4">
        <v>380</v>
      </c>
      <c r="L15" s="4">
        <v>474</v>
      </c>
      <c r="M15" s="4">
        <v>575</v>
      </c>
      <c r="N15" s="4">
        <v>363</v>
      </c>
      <c r="O15" s="4">
        <v>381</v>
      </c>
      <c r="P15" s="4">
        <v>425</v>
      </c>
      <c r="Q15" s="4">
        <v>677</v>
      </c>
      <c r="R15" s="4">
        <v>485</v>
      </c>
      <c r="S15" s="4">
        <v>549</v>
      </c>
      <c r="T15" s="4">
        <v>461</v>
      </c>
      <c r="U15" s="4">
        <v>445</v>
      </c>
      <c r="V15" s="4">
        <v>684</v>
      </c>
      <c r="W15" s="4">
        <v>626</v>
      </c>
      <c r="X15" s="4">
        <v>701</v>
      </c>
      <c r="Y15" s="4">
        <v>603</v>
      </c>
      <c r="Z15" s="4">
        <v>607</v>
      </c>
      <c r="AA15" s="4">
        <v>569</v>
      </c>
      <c r="AB15" s="4">
        <v>649</v>
      </c>
      <c r="AC15" s="4">
        <v>739</v>
      </c>
      <c r="AD15" s="4">
        <v>547</v>
      </c>
      <c r="AE15" s="4">
        <v>721</v>
      </c>
      <c r="AF15" s="4">
        <v>690</v>
      </c>
      <c r="AG15" s="4">
        <v>746</v>
      </c>
      <c r="AH15" s="4">
        <v>467</v>
      </c>
      <c r="AI15" s="4">
        <v>631</v>
      </c>
      <c r="AJ15" s="4">
        <v>364</v>
      </c>
      <c r="AK15" s="4">
        <v>401</v>
      </c>
      <c r="AL15" s="4">
        <v>563</v>
      </c>
    </row>
    <row r="16" spans="2:38" x14ac:dyDescent="0.3">
      <c r="B16" s="5" t="s">
        <v>50</v>
      </c>
      <c r="C16" s="6">
        <f t="shared" ref="C16:AL16" si="3">C10+C11+C12+C13+C14+C15</f>
        <v>9744</v>
      </c>
      <c r="D16" s="6">
        <f t="shared" si="3"/>
        <v>10030</v>
      </c>
      <c r="E16" s="6">
        <f t="shared" si="3"/>
        <v>9821</v>
      </c>
      <c r="F16" s="6">
        <f t="shared" si="3"/>
        <v>10144</v>
      </c>
      <c r="G16" s="6">
        <f t="shared" si="3"/>
        <v>10245</v>
      </c>
      <c r="H16" s="6">
        <f t="shared" si="3"/>
        <v>10542</v>
      </c>
      <c r="I16" s="6">
        <f t="shared" si="3"/>
        <v>10007</v>
      </c>
      <c r="J16" s="6">
        <f t="shared" si="3"/>
        <v>10311</v>
      </c>
      <c r="K16" s="6">
        <f t="shared" si="3"/>
        <v>10646</v>
      </c>
      <c r="L16" s="6">
        <f t="shared" si="3"/>
        <v>10489</v>
      </c>
      <c r="M16" s="6">
        <f t="shared" si="3"/>
        <v>11388</v>
      </c>
      <c r="N16" s="6">
        <f t="shared" si="3"/>
        <v>10947</v>
      </c>
      <c r="O16" s="6">
        <f t="shared" si="3"/>
        <v>10325</v>
      </c>
      <c r="P16" s="6">
        <f t="shared" si="3"/>
        <v>10676</v>
      </c>
      <c r="Q16" s="6">
        <f t="shared" si="3"/>
        <v>10848</v>
      </c>
      <c r="R16" s="6">
        <f t="shared" si="3"/>
        <v>10565</v>
      </c>
      <c r="S16" s="6">
        <f t="shared" si="3"/>
        <v>11301</v>
      </c>
      <c r="T16" s="6">
        <f t="shared" si="3"/>
        <v>10575</v>
      </c>
      <c r="U16" s="6">
        <f t="shared" si="3"/>
        <v>10982</v>
      </c>
      <c r="V16" s="6">
        <f t="shared" si="3"/>
        <v>11016</v>
      </c>
      <c r="W16" s="6">
        <f t="shared" si="3"/>
        <v>11320</v>
      </c>
      <c r="X16" s="6">
        <f t="shared" si="3"/>
        <v>11783</v>
      </c>
      <c r="Y16" s="6">
        <f t="shared" si="3"/>
        <v>12312</v>
      </c>
      <c r="Z16" s="6">
        <f t="shared" si="3"/>
        <v>13455</v>
      </c>
      <c r="AA16" s="6">
        <f t="shared" si="3"/>
        <v>10796</v>
      </c>
      <c r="AB16" s="6">
        <f t="shared" si="3"/>
        <v>11279</v>
      </c>
      <c r="AC16" s="6">
        <f t="shared" si="3"/>
        <v>11458</v>
      </c>
      <c r="AD16" s="6">
        <f t="shared" si="3"/>
        <v>11927</v>
      </c>
      <c r="AE16" s="6">
        <f t="shared" si="3"/>
        <v>11578</v>
      </c>
      <c r="AF16" s="6">
        <f t="shared" si="3"/>
        <v>11815</v>
      </c>
      <c r="AG16" s="6">
        <f t="shared" si="3"/>
        <v>11764</v>
      </c>
      <c r="AH16" s="6">
        <f t="shared" si="3"/>
        <v>11670</v>
      </c>
      <c r="AI16" s="6">
        <f t="shared" si="3"/>
        <v>12439</v>
      </c>
      <c r="AJ16" s="6">
        <f t="shared" si="3"/>
        <v>11892</v>
      </c>
      <c r="AK16" s="6">
        <f t="shared" si="3"/>
        <v>12222</v>
      </c>
      <c r="AL16" s="6">
        <f t="shared" si="3"/>
        <v>12632</v>
      </c>
    </row>
    <row r="17" spans="2:38" x14ac:dyDescent="0.3">
      <c r="B17" s="5" t="s">
        <v>51</v>
      </c>
      <c r="C17" s="6">
        <f t="shared" ref="C17:AL17" si="4">C8-C16</f>
        <v>-557</v>
      </c>
      <c r="D17" s="6">
        <f t="shared" si="4"/>
        <v>399</v>
      </c>
      <c r="E17" s="6">
        <f t="shared" si="4"/>
        <v>-482</v>
      </c>
      <c r="F17" s="6">
        <f t="shared" si="4"/>
        <v>1993</v>
      </c>
      <c r="G17" s="6">
        <f t="shared" si="4"/>
        <v>1421</v>
      </c>
      <c r="H17" s="6">
        <f t="shared" si="4"/>
        <v>593</v>
      </c>
      <c r="I17" s="6">
        <f t="shared" si="4"/>
        <v>1882</v>
      </c>
      <c r="J17" s="6">
        <f t="shared" si="4"/>
        <v>1838</v>
      </c>
      <c r="K17" s="6">
        <f t="shared" si="4"/>
        <v>620</v>
      </c>
      <c r="L17" s="6">
        <f t="shared" si="4"/>
        <v>2829</v>
      </c>
      <c r="M17" s="6">
        <f t="shared" si="4"/>
        <v>4761</v>
      </c>
      <c r="N17" s="6">
        <f t="shared" si="4"/>
        <v>10304</v>
      </c>
      <c r="O17" s="6">
        <f t="shared" si="4"/>
        <v>689</v>
      </c>
      <c r="P17" s="6">
        <f t="shared" si="4"/>
        <v>-932</v>
      </c>
      <c r="Q17" s="6">
        <f t="shared" si="4"/>
        <v>3251</v>
      </c>
      <c r="R17" s="6">
        <f t="shared" si="4"/>
        <v>2853</v>
      </c>
      <c r="S17" s="6">
        <f t="shared" si="4"/>
        <v>2898</v>
      </c>
      <c r="T17" s="6">
        <f t="shared" si="4"/>
        <v>2010</v>
      </c>
      <c r="U17" s="6">
        <f t="shared" si="4"/>
        <v>345</v>
      </c>
      <c r="V17" s="6">
        <f t="shared" si="4"/>
        <v>1445</v>
      </c>
      <c r="W17" s="6">
        <f t="shared" si="4"/>
        <v>4005</v>
      </c>
      <c r="X17" s="6">
        <f t="shared" si="4"/>
        <v>6038</v>
      </c>
      <c r="Y17" s="6">
        <f t="shared" si="4"/>
        <v>6246</v>
      </c>
      <c r="Z17" s="6">
        <f t="shared" si="4"/>
        <v>10143</v>
      </c>
      <c r="AA17" s="6">
        <f t="shared" si="4"/>
        <v>1942</v>
      </c>
      <c r="AB17" s="6">
        <f t="shared" si="4"/>
        <v>2848</v>
      </c>
      <c r="AC17" s="6">
        <f t="shared" si="4"/>
        <v>4460</v>
      </c>
      <c r="AD17" s="6">
        <f t="shared" si="4"/>
        <v>4256</v>
      </c>
      <c r="AE17" s="6">
        <f t="shared" si="4"/>
        <v>2495</v>
      </c>
      <c r="AF17" s="6">
        <f t="shared" si="4"/>
        <v>2813</v>
      </c>
      <c r="AG17" s="6">
        <f t="shared" si="4"/>
        <v>2677</v>
      </c>
      <c r="AH17" s="6">
        <f t="shared" si="4"/>
        <v>2069</v>
      </c>
      <c r="AI17" s="6">
        <f t="shared" si="4"/>
        <v>4540</v>
      </c>
      <c r="AJ17" s="6">
        <f t="shared" si="4"/>
        <v>7456</v>
      </c>
      <c r="AK17" s="6">
        <f t="shared" si="4"/>
        <v>7695</v>
      </c>
      <c r="AL17" s="6">
        <f t="shared" si="4"/>
        <v>15843</v>
      </c>
    </row>
    <row r="18" spans="2:38" x14ac:dyDescent="0.3">
      <c r="B18" s="3" t="s">
        <v>52</v>
      </c>
      <c r="C18" s="4">
        <v>0</v>
      </c>
      <c r="D18" s="4">
        <v>76</v>
      </c>
      <c r="E18" s="4">
        <v>0</v>
      </c>
      <c r="F18" s="4">
        <v>237</v>
      </c>
      <c r="G18" s="4">
        <v>166</v>
      </c>
      <c r="H18" s="4">
        <v>0</v>
      </c>
      <c r="I18" s="4">
        <v>207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40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165</v>
      </c>
      <c r="Y18" s="4">
        <v>0</v>
      </c>
      <c r="Z18" s="4">
        <v>40</v>
      </c>
      <c r="AA18" s="4">
        <v>0</v>
      </c>
      <c r="AB18" s="4">
        <v>0</v>
      </c>
      <c r="AC18" s="4">
        <v>0</v>
      </c>
      <c r="AD18" s="4">
        <v>181</v>
      </c>
      <c r="AE18" s="4">
        <v>0</v>
      </c>
      <c r="AF18" s="4">
        <v>0</v>
      </c>
      <c r="AG18" s="4">
        <v>130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</row>
    <row r="19" spans="2:38" x14ac:dyDescent="0.3">
      <c r="B19" s="3" t="s">
        <v>53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220</v>
      </c>
      <c r="J19" s="4">
        <v>220</v>
      </c>
      <c r="K19" s="4">
        <v>220</v>
      </c>
      <c r="L19" s="4">
        <v>220</v>
      </c>
      <c r="M19" s="4">
        <v>220</v>
      </c>
      <c r="N19" s="4">
        <v>220</v>
      </c>
      <c r="O19" s="4">
        <v>220</v>
      </c>
      <c r="P19" s="4">
        <v>220</v>
      </c>
      <c r="Q19" s="4">
        <v>220</v>
      </c>
      <c r="R19" s="4">
        <v>220</v>
      </c>
      <c r="S19" s="4">
        <v>220</v>
      </c>
      <c r="T19" s="4">
        <v>220</v>
      </c>
      <c r="U19" s="4">
        <v>220</v>
      </c>
      <c r="V19" s="4">
        <v>220</v>
      </c>
      <c r="W19" s="4">
        <v>220</v>
      </c>
      <c r="X19" s="4">
        <v>220</v>
      </c>
      <c r="Y19" s="4">
        <v>220</v>
      </c>
      <c r="Z19" s="4">
        <v>220</v>
      </c>
      <c r="AA19" s="4">
        <v>220</v>
      </c>
      <c r="AB19" s="4">
        <v>220</v>
      </c>
      <c r="AC19" s="4">
        <v>220</v>
      </c>
      <c r="AD19" s="4">
        <v>220</v>
      </c>
      <c r="AE19" s="4">
        <v>220</v>
      </c>
      <c r="AF19" s="4">
        <v>220</v>
      </c>
      <c r="AG19" s="4">
        <v>220</v>
      </c>
      <c r="AH19" s="4">
        <v>220</v>
      </c>
      <c r="AI19" s="4">
        <v>220</v>
      </c>
      <c r="AJ19" s="4">
        <v>220</v>
      </c>
      <c r="AK19" s="4">
        <v>220</v>
      </c>
      <c r="AL19" s="4">
        <v>220</v>
      </c>
    </row>
    <row r="20" spans="2:38" x14ac:dyDescent="0.3">
      <c r="B20" s="5" t="s">
        <v>54</v>
      </c>
      <c r="C20" s="6">
        <f t="shared" ref="C20:AL20" si="5">C17+C18-C19</f>
        <v>-557</v>
      </c>
      <c r="D20" s="6">
        <f t="shared" si="5"/>
        <v>475</v>
      </c>
      <c r="E20" s="6">
        <f t="shared" si="5"/>
        <v>-482</v>
      </c>
      <c r="F20" s="6">
        <f t="shared" si="5"/>
        <v>2230</v>
      </c>
      <c r="G20" s="6">
        <f t="shared" si="5"/>
        <v>1587</v>
      </c>
      <c r="H20" s="6">
        <f t="shared" si="5"/>
        <v>593</v>
      </c>
      <c r="I20" s="6">
        <f t="shared" si="5"/>
        <v>1869</v>
      </c>
      <c r="J20" s="6">
        <f t="shared" si="5"/>
        <v>1618</v>
      </c>
      <c r="K20" s="6">
        <f t="shared" si="5"/>
        <v>400</v>
      </c>
      <c r="L20" s="6">
        <f t="shared" si="5"/>
        <v>2609</v>
      </c>
      <c r="M20" s="6">
        <f t="shared" si="5"/>
        <v>4541</v>
      </c>
      <c r="N20" s="6">
        <f t="shared" si="5"/>
        <v>10084</v>
      </c>
      <c r="O20" s="6">
        <f t="shared" si="5"/>
        <v>509</v>
      </c>
      <c r="P20" s="6">
        <f t="shared" si="5"/>
        <v>-1152</v>
      </c>
      <c r="Q20" s="6">
        <f t="shared" si="5"/>
        <v>3031</v>
      </c>
      <c r="R20" s="6">
        <f t="shared" si="5"/>
        <v>2633</v>
      </c>
      <c r="S20" s="6">
        <f t="shared" si="5"/>
        <v>2678</v>
      </c>
      <c r="T20" s="6">
        <f t="shared" si="5"/>
        <v>1790</v>
      </c>
      <c r="U20" s="6">
        <f t="shared" si="5"/>
        <v>125</v>
      </c>
      <c r="V20" s="6">
        <f t="shared" si="5"/>
        <v>1225</v>
      </c>
      <c r="W20" s="6">
        <f t="shared" si="5"/>
        <v>3785</v>
      </c>
      <c r="X20" s="6">
        <f t="shared" si="5"/>
        <v>5983</v>
      </c>
      <c r="Y20" s="6">
        <f t="shared" si="5"/>
        <v>6026</v>
      </c>
      <c r="Z20" s="6">
        <f t="shared" si="5"/>
        <v>9963</v>
      </c>
      <c r="AA20" s="6">
        <f t="shared" si="5"/>
        <v>1722</v>
      </c>
      <c r="AB20" s="6">
        <f t="shared" si="5"/>
        <v>2628</v>
      </c>
      <c r="AC20" s="6">
        <f t="shared" si="5"/>
        <v>4240</v>
      </c>
      <c r="AD20" s="6">
        <f t="shared" si="5"/>
        <v>4217</v>
      </c>
      <c r="AE20" s="6">
        <f t="shared" si="5"/>
        <v>2275</v>
      </c>
      <c r="AF20" s="6">
        <f t="shared" si="5"/>
        <v>2593</v>
      </c>
      <c r="AG20" s="6">
        <f t="shared" si="5"/>
        <v>2587</v>
      </c>
      <c r="AH20" s="6">
        <f t="shared" si="5"/>
        <v>1849</v>
      </c>
      <c r="AI20" s="6">
        <f t="shared" si="5"/>
        <v>4320</v>
      </c>
      <c r="AJ20" s="6">
        <f t="shared" si="5"/>
        <v>7236</v>
      </c>
      <c r="AK20" s="6">
        <f t="shared" si="5"/>
        <v>7475</v>
      </c>
      <c r="AL20" s="6">
        <f t="shared" si="5"/>
        <v>15623</v>
      </c>
    </row>
    <row r="21" spans="2:38" x14ac:dyDescent="0.3">
      <c r="B21" s="5" t="s">
        <v>55</v>
      </c>
      <c r="C21" s="6">
        <f t="shared" ref="C21:AL21" si="6">MAX(C20*0.21,0)</f>
        <v>0</v>
      </c>
      <c r="D21" s="6">
        <f t="shared" si="6"/>
        <v>99.75</v>
      </c>
      <c r="E21" s="6">
        <f t="shared" si="6"/>
        <v>0</v>
      </c>
      <c r="F21" s="6">
        <f t="shared" si="6"/>
        <v>468.29999999999995</v>
      </c>
      <c r="G21" s="6">
        <f t="shared" si="6"/>
        <v>333.27</v>
      </c>
      <c r="H21" s="6">
        <f t="shared" si="6"/>
        <v>124.53</v>
      </c>
      <c r="I21" s="6">
        <f t="shared" si="6"/>
        <v>392.49</v>
      </c>
      <c r="J21" s="6">
        <f t="shared" si="6"/>
        <v>339.78</v>
      </c>
      <c r="K21" s="6">
        <f t="shared" si="6"/>
        <v>84</v>
      </c>
      <c r="L21" s="6">
        <f t="shared" si="6"/>
        <v>547.89</v>
      </c>
      <c r="M21" s="6">
        <f t="shared" si="6"/>
        <v>953.61</v>
      </c>
      <c r="N21" s="6">
        <f t="shared" si="6"/>
        <v>2117.64</v>
      </c>
      <c r="O21" s="6">
        <f t="shared" si="6"/>
        <v>106.89</v>
      </c>
      <c r="P21" s="6">
        <f t="shared" si="6"/>
        <v>0</v>
      </c>
      <c r="Q21" s="6">
        <f t="shared" si="6"/>
        <v>636.51</v>
      </c>
      <c r="R21" s="6">
        <f t="shared" si="6"/>
        <v>552.92999999999995</v>
      </c>
      <c r="S21" s="6">
        <f t="shared" si="6"/>
        <v>562.38</v>
      </c>
      <c r="T21" s="6">
        <f t="shared" si="6"/>
        <v>375.9</v>
      </c>
      <c r="U21" s="6">
        <f t="shared" si="6"/>
        <v>26.25</v>
      </c>
      <c r="V21" s="6">
        <f t="shared" si="6"/>
        <v>257.25</v>
      </c>
      <c r="W21" s="6">
        <f t="shared" si="6"/>
        <v>794.85</v>
      </c>
      <c r="X21" s="6">
        <f t="shared" si="6"/>
        <v>1256.43</v>
      </c>
      <c r="Y21" s="6">
        <f t="shared" si="6"/>
        <v>1265.46</v>
      </c>
      <c r="Z21" s="6">
        <f t="shared" si="6"/>
        <v>2092.23</v>
      </c>
      <c r="AA21" s="6">
        <f t="shared" si="6"/>
        <v>361.62</v>
      </c>
      <c r="AB21" s="6">
        <f t="shared" si="6"/>
        <v>551.88</v>
      </c>
      <c r="AC21" s="6">
        <f t="shared" si="6"/>
        <v>890.4</v>
      </c>
      <c r="AD21" s="6">
        <f t="shared" si="6"/>
        <v>885.56999999999994</v>
      </c>
      <c r="AE21" s="6">
        <f t="shared" si="6"/>
        <v>477.75</v>
      </c>
      <c r="AF21" s="6">
        <f t="shared" si="6"/>
        <v>544.53</v>
      </c>
      <c r="AG21" s="6">
        <f t="shared" si="6"/>
        <v>543.27</v>
      </c>
      <c r="AH21" s="6">
        <f t="shared" si="6"/>
        <v>388.28999999999996</v>
      </c>
      <c r="AI21" s="6">
        <f t="shared" si="6"/>
        <v>907.19999999999993</v>
      </c>
      <c r="AJ21" s="6">
        <f t="shared" si="6"/>
        <v>1519.56</v>
      </c>
      <c r="AK21" s="6">
        <f t="shared" si="6"/>
        <v>1569.75</v>
      </c>
      <c r="AL21" s="6">
        <f t="shared" si="6"/>
        <v>3280.83</v>
      </c>
    </row>
    <row r="22" spans="2:38" x14ac:dyDescent="0.3">
      <c r="B22" s="5" t="s">
        <v>56</v>
      </c>
      <c r="C22" s="6">
        <f t="shared" ref="C22:AL22" si="7">C20-C21</f>
        <v>-557</v>
      </c>
      <c r="D22" s="6">
        <f t="shared" si="7"/>
        <v>375.25</v>
      </c>
      <c r="E22" s="6">
        <f t="shared" si="7"/>
        <v>-482</v>
      </c>
      <c r="F22" s="6">
        <f t="shared" si="7"/>
        <v>1761.7</v>
      </c>
      <c r="G22" s="6">
        <f t="shared" si="7"/>
        <v>1253.73</v>
      </c>
      <c r="H22" s="6">
        <f t="shared" si="7"/>
        <v>468.47</v>
      </c>
      <c r="I22" s="6">
        <f t="shared" si="7"/>
        <v>1476.51</v>
      </c>
      <c r="J22" s="6">
        <f t="shared" si="7"/>
        <v>1278.22</v>
      </c>
      <c r="K22" s="6">
        <f t="shared" si="7"/>
        <v>316</v>
      </c>
      <c r="L22" s="6">
        <f t="shared" si="7"/>
        <v>2061.11</v>
      </c>
      <c r="M22" s="6">
        <f t="shared" si="7"/>
        <v>3587.39</v>
      </c>
      <c r="N22" s="6">
        <f t="shared" si="7"/>
        <v>7966.3600000000006</v>
      </c>
      <c r="O22" s="6">
        <f t="shared" si="7"/>
        <v>402.11</v>
      </c>
      <c r="P22" s="6">
        <f t="shared" si="7"/>
        <v>-1152</v>
      </c>
      <c r="Q22" s="6">
        <f t="shared" si="7"/>
        <v>2394.4899999999998</v>
      </c>
      <c r="R22" s="6">
        <f t="shared" si="7"/>
        <v>2080.0700000000002</v>
      </c>
      <c r="S22" s="6">
        <f t="shared" si="7"/>
        <v>2115.62</v>
      </c>
      <c r="T22" s="6">
        <f t="shared" si="7"/>
        <v>1414.1</v>
      </c>
      <c r="U22" s="6">
        <f t="shared" si="7"/>
        <v>98.75</v>
      </c>
      <c r="V22" s="6">
        <f t="shared" si="7"/>
        <v>967.75</v>
      </c>
      <c r="W22" s="6">
        <f t="shared" si="7"/>
        <v>2990.15</v>
      </c>
      <c r="X22" s="6">
        <f t="shared" si="7"/>
        <v>4726.57</v>
      </c>
      <c r="Y22" s="6">
        <f t="shared" si="7"/>
        <v>4760.54</v>
      </c>
      <c r="Z22" s="6">
        <f t="shared" si="7"/>
        <v>7870.77</v>
      </c>
      <c r="AA22" s="6">
        <f t="shared" si="7"/>
        <v>1360.38</v>
      </c>
      <c r="AB22" s="6">
        <f t="shared" si="7"/>
        <v>2076.12</v>
      </c>
      <c r="AC22" s="6">
        <f t="shared" si="7"/>
        <v>3349.6</v>
      </c>
      <c r="AD22" s="6">
        <f t="shared" si="7"/>
        <v>3331.4300000000003</v>
      </c>
      <c r="AE22" s="6">
        <f t="shared" si="7"/>
        <v>1797.25</v>
      </c>
      <c r="AF22" s="6">
        <f t="shared" si="7"/>
        <v>2048.4700000000003</v>
      </c>
      <c r="AG22" s="6">
        <f t="shared" si="7"/>
        <v>2043.73</v>
      </c>
      <c r="AH22" s="6">
        <f t="shared" si="7"/>
        <v>1460.71</v>
      </c>
      <c r="AI22" s="6">
        <f t="shared" si="7"/>
        <v>3412.8</v>
      </c>
      <c r="AJ22" s="6">
        <f t="shared" si="7"/>
        <v>5716.4400000000005</v>
      </c>
      <c r="AK22" s="6">
        <f t="shared" si="7"/>
        <v>5905.25</v>
      </c>
      <c r="AL22" s="6">
        <f t="shared" si="7"/>
        <v>12342.17</v>
      </c>
    </row>
    <row r="23" spans="2:38" x14ac:dyDescent="0.3">
      <c r="B23" s="5" t="s">
        <v>57</v>
      </c>
      <c r="C23" s="7">
        <f t="shared" ref="C23:AL23" si="8">IFERROR(C22/C6,0)</f>
        <v>-2.32869267109829E-2</v>
      </c>
      <c r="D23" s="7">
        <f t="shared" si="8"/>
        <v>1.5067255571170448E-2</v>
      </c>
      <c r="E23" s="7">
        <f t="shared" si="8"/>
        <v>-1.9782474861481634E-2</v>
      </c>
      <c r="F23" s="7">
        <f t="shared" si="8"/>
        <v>5.6484658052518517E-2</v>
      </c>
      <c r="G23" s="7">
        <f t="shared" si="8"/>
        <v>4.229858299595142E-2</v>
      </c>
      <c r="H23" s="7">
        <f t="shared" si="8"/>
        <v>1.6357192737430169E-2</v>
      </c>
      <c r="I23" s="7">
        <f t="shared" si="8"/>
        <v>5.1500174398325778E-2</v>
      </c>
      <c r="J23" s="7">
        <f t="shared" si="8"/>
        <v>4.2415051765330503E-2</v>
      </c>
      <c r="K23" s="7">
        <f t="shared" si="8"/>
        <v>1.0408089325121044E-2</v>
      </c>
      <c r="L23" s="7">
        <f t="shared" si="8"/>
        <v>5.6985540103403468E-2</v>
      </c>
      <c r="M23" s="7">
        <f t="shared" si="8"/>
        <v>8.7007106303509496E-2</v>
      </c>
      <c r="N23" s="7">
        <f t="shared" si="8"/>
        <v>0.14568789890455552</v>
      </c>
      <c r="O23" s="7">
        <f t="shared" si="8"/>
        <v>1.4787805236834364E-2</v>
      </c>
      <c r="P23" s="7">
        <f t="shared" si="8"/>
        <v>-4.3920850966487478E-2</v>
      </c>
      <c r="Q23" s="7">
        <f t="shared" si="8"/>
        <v>6.8091053858840914E-2</v>
      </c>
      <c r="R23" s="7">
        <f t="shared" si="8"/>
        <v>6.0356614340016837E-2</v>
      </c>
      <c r="S23" s="7">
        <f t="shared" si="8"/>
        <v>5.9329201604083115E-2</v>
      </c>
      <c r="T23" s="7">
        <f t="shared" si="8"/>
        <v>4.6945753934001723E-2</v>
      </c>
      <c r="U23" s="7">
        <f t="shared" si="8"/>
        <v>3.1459063395985983E-3</v>
      </c>
      <c r="V23" s="7">
        <f t="shared" si="8"/>
        <v>2.9672839884712088E-2</v>
      </c>
      <c r="W23" s="7">
        <f t="shared" si="8"/>
        <v>7.5953820361715108E-2</v>
      </c>
      <c r="X23" s="7">
        <f t="shared" si="8"/>
        <v>0.10920405711381174</v>
      </c>
      <c r="Y23" s="7">
        <f t="shared" si="8"/>
        <v>0.10401914084691692</v>
      </c>
      <c r="Z23" s="7">
        <f t="shared" si="8"/>
        <v>0.12555665448976663</v>
      </c>
      <c r="AA23" s="7">
        <f t="shared" si="8"/>
        <v>4.4205498147787098E-2</v>
      </c>
      <c r="AB23" s="7">
        <f t="shared" si="8"/>
        <v>5.9744460431654677E-2</v>
      </c>
      <c r="AC23" s="7">
        <f t="shared" si="8"/>
        <v>8.7197375956682463E-2</v>
      </c>
      <c r="AD23" s="7">
        <f t="shared" si="8"/>
        <v>7.8666084205057982E-2</v>
      </c>
      <c r="AE23" s="7">
        <f t="shared" si="8"/>
        <v>4.6329234655736858E-2</v>
      </c>
      <c r="AF23" s="7">
        <f t="shared" si="8"/>
        <v>5.0719768247994457E-2</v>
      </c>
      <c r="AG23" s="7">
        <f t="shared" si="8"/>
        <v>5.3528810895756944E-2</v>
      </c>
      <c r="AH23" s="7">
        <f t="shared" si="8"/>
        <v>3.9928655386381656E-2</v>
      </c>
      <c r="AI23" s="7">
        <f t="shared" si="8"/>
        <v>7.8251897370050214E-2</v>
      </c>
      <c r="AJ23" s="7">
        <f t="shared" si="8"/>
        <v>0.11809850425584663</v>
      </c>
      <c r="AK23" s="7">
        <f t="shared" si="8"/>
        <v>0.12398173420113374</v>
      </c>
      <c r="AL23" s="7">
        <f t="shared" si="8"/>
        <v>0.17643013365735116</v>
      </c>
    </row>
    <row r="26" spans="2:38" x14ac:dyDescent="0.3">
      <c r="B26" s="8" t="s">
        <v>58</v>
      </c>
    </row>
    <row r="27" spans="2:38" x14ac:dyDescent="0.3">
      <c r="B27" s="9" t="s">
        <v>59</v>
      </c>
    </row>
    <row r="28" spans="2:38" x14ac:dyDescent="0.3">
      <c r="B28" s="9" t="s">
        <v>60</v>
      </c>
    </row>
    <row r="29" spans="2:38" x14ac:dyDescent="0.3">
      <c r="B29" s="9" t="s">
        <v>61</v>
      </c>
    </row>
    <row r="30" spans="2:38" x14ac:dyDescent="0.3">
      <c r="B30" s="9" t="s">
        <v>62</v>
      </c>
    </row>
  </sheetData>
  <mergeCells count="1">
    <mergeCell ref="B1:A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L26"/>
  <sheetViews>
    <sheetView zoomScaleNormal="100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C18" sqref="C18"/>
    </sheetView>
  </sheetViews>
  <sheetFormatPr defaultColWidth="8.6640625" defaultRowHeight="14.4" x14ac:dyDescent="0.3"/>
  <cols>
    <col min="1" max="1" width="5" customWidth="1"/>
    <col min="2" max="2" width="53.6640625" customWidth="1"/>
    <col min="3" max="38" width="11" customWidth="1"/>
  </cols>
  <sheetData>
    <row r="1" spans="2:38" ht="24" customHeight="1" x14ac:dyDescent="0.3">
      <c r="B1" s="14" t="s">
        <v>63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3" spans="2:38" x14ac:dyDescent="0.3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</row>
    <row r="4" spans="2:38" x14ac:dyDescent="0.3">
      <c r="B4" t="s">
        <v>64</v>
      </c>
      <c r="C4" s="4">
        <v>14418</v>
      </c>
      <c r="D4" s="4">
        <v>12896.25</v>
      </c>
      <c r="E4" s="4">
        <v>13657.25</v>
      </c>
      <c r="F4" s="4">
        <v>8127.95</v>
      </c>
      <c r="G4" s="4">
        <v>11486.68</v>
      </c>
      <c r="H4" s="4">
        <v>7194.15</v>
      </c>
      <c r="I4" s="4">
        <v>21195.66</v>
      </c>
      <c r="J4" s="4">
        <v>18893.88</v>
      </c>
      <c r="K4" s="4">
        <v>17095.88</v>
      </c>
      <c r="L4" s="4">
        <v>10968.99</v>
      </c>
      <c r="M4" s="4">
        <v>11605.38</v>
      </c>
      <c r="N4" s="4">
        <v>9179.74</v>
      </c>
      <c r="O4" s="4">
        <v>28180.85</v>
      </c>
      <c r="P4" s="4">
        <v>25256.85</v>
      </c>
      <c r="Q4" s="4">
        <v>20296.34</v>
      </c>
      <c r="R4" s="4">
        <v>21449.41</v>
      </c>
      <c r="S4" s="4">
        <v>20143.03</v>
      </c>
      <c r="T4" s="4">
        <v>25182.13</v>
      </c>
      <c r="U4" s="4">
        <v>23007.88</v>
      </c>
      <c r="V4" s="4">
        <v>14587.63</v>
      </c>
      <c r="W4" s="4">
        <v>8931.7800000000007</v>
      </c>
      <c r="X4" s="4">
        <v>11888.35</v>
      </c>
      <c r="Y4" s="4">
        <v>11046.89</v>
      </c>
      <c r="Z4" s="4">
        <v>2017.66</v>
      </c>
      <c r="AA4" s="4">
        <v>32011.040000000001</v>
      </c>
      <c r="AB4" s="4">
        <v>30022.16</v>
      </c>
      <c r="AC4" s="4">
        <v>28788.76</v>
      </c>
      <c r="AD4" s="4">
        <v>26646.19</v>
      </c>
      <c r="AE4" s="4">
        <v>27369.439999999999</v>
      </c>
      <c r="AF4" s="4">
        <v>25132.91</v>
      </c>
      <c r="AG4" s="4">
        <v>26823.64</v>
      </c>
      <c r="AH4" s="4">
        <v>32138.35</v>
      </c>
      <c r="AI4" s="4">
        <v>26900.15</v>
      </c>
      <c r="AJ4" s="4">
        <v>32671.59</v>
      </c>
      <c r="AK4" s="4">
        <v>37081.839999999997</v>
      </c>
      <c r="AL4" s="4">
        <v>28708.01</v>
      </c>
    </row>
    <row r="5" spans="2:38" x14ac:dyDescent="0.3">
      <c r="B5" t="s">
        <v>65</v>
      </c>
      <c r="C5" s="4">
        <v>3422</v>
      </c>
      <c r="D5" s="4">
        <v>4207</v>
      </c>
      <c r="E5" s="4">
        <v>3899</v>
      </c>
      <c r="F5" s="4">
        <v>4990</v>
      </c>
      <c r="G5" s="4">
        <v>4601</v>
      </c>
      <c r="H5" s="4">
        <v>5052</v>
      </c>
      <c r="I5" s="4">
        <v>5082</v>
      </c>
      <c r="J5" s="4">
        <v>5364</v>
      </c>
      <c r="K5" s="4">
        <v>5355</v>
      </c>
      <c r="L5" s="4">
        <v>6149</v>
      </c>
      <c r="M5" s="4">
        <v>6110</v>
      </c>
      <c r="N5" s="4">
        <v>8700</v>
      </c>
      <c r="O5" s="4">
        <v>4643</v>
      </c>
      <c r="P5" s="4">
        <v>3962</v>
      </c>
      <c r="Q5" s="4">
        <v>5848</v>
      </c>
      <c r="R5" s="4">
        <v>5816</v>
      </c>
      <c r="S5" s="4">
        <v>5250</v>
      </c>
      <c r="T5" s="4">
        <v>4731</v>
      </c>
      <c r="U5" s="4">
        <v>4916</v>
      </c>
      <c r="V5" s="4">
        <v>5491</v>
      </c>
      <c r="W5" s="4">
        <v>7016</v>
      </c>
      <c r="X5" s="4">
        <v>6594</v>
      </c>
      <c r="Y5" s="4">
        <v>8174</v>
      </c>
      <c r="Z5" s="4">
        <v>9961</v>
      </c>
      <c r="AA5" s="4">
        <v>4688</v>
      </c>
      <c r="AB5" s="4">
        <v>5540</v>
      </c>
      <c r="AC5" s="4">
        <v>5876</v>
      </c>
      <c r="AD5" s="4">
        <v>6632</v>
      </c>
      <c r="AE5" s="4">
        <v>6667</v>
      </c>
      <c r="AF5" s="4">
        <v>6912</v>
      </c>
      <c r="AG5" s="4">
        <v>6568</v>
      </c>
      <c r="AH5" s="4">
        <v>6403</v>
      </c>
      <c r="AI5" s="4">
        <v>7496</v>
      </c>
      <c r="AJ5" s="4">
        <v>8052</v>
      </c>
      <c r="AK5" s="4">
        <v>8217</v>
      </c>
      <c r="AL5" s="4">
        <v>11831</v>
      </c>
    </row>
    <row r="6" spans="2:38" x14ac:dyDescent="0.3">
      <c r="B6" t="s">
        <v>66</v>
      </c>
      <c r="C6" s="4">
        <v>18503</v>
      </c>
      <c r="D6" s="4">
        <v>18755</v>
      </c>
      <c r="E6" s="4">
        <v>16745</v>
      </c>
      <c r="F6" s="4">
        <v>23545</v>
      </c>
      <c r="G6" s="4">
        <v>20008</v>
      </c>
      <c r="H6" s="4">
        <v>20003</v>
      </c>
      <c r="I6" s="4">
        <v>18543</v>
      </c>
      <c r="J6" s="4">
        <v>20614</v>
      </c>
      <c r="K6" s="4">
        <v>21513</v>
      </c>
      <c r="L6" s="4">
        <v>28194</v>
      </c>
      <c r="M6" s="4">
        <v>30052</v>
      </c>
      <c r="N6" s="4">
        <v>39219</v>
      </c>
      <c r="O6" s="4">
        <v>18812</v>
      </c>
      <c r="P6" s="4">
        <v>19627</v>
      </c>
      <c r="Q6" s="4">
        <v>24734</v>
      </c>
      <c r="R6" s="4">
        <v>24888</v>
      </c>
      <c r="S6" s="4">
        <v>26787</v>
      </c>
      <c r="T6" s="4">
        <v>21516</v>
      </c>
      <c r="U6" s="4">
        <v>22075</v>
      </c>
      <c r="V6" s="4">
        <v>24282</v>
      </c>
      <c r="W6" s="4">
        <v>29731</v>
      </c>
      <c r="X6" s="4">
        <v>31025</v>
      </c>
      <c r="Y6" s="4">
        <v>35071</v>
      </c>
      <c r="Z6" s="4">
        <v>49576</v>
      </c>
      <c r="AA6" s="4">
        <v>21510</v>
      </c>
      <c r="AB6" s="4">
        <v>23250</v>
      </c>
      <c r="AC6" s="4">
        <v>26097</v>
      </c>
      <c r="AD6" s="4">
        <v>31128</v>
      </c>
      <c r="AE6" s="4">
        <v>29775</v>
      </c>
      <c r="AF6" s="4">
        <v>32907</v>
      </c>
      <c r="AG6" s="4">
        <v>30572</v>
      </c>
      <c r="AH6" s="4">
        <v>26392</v>
      </c>
      <c r="AI6" s="4">
        <v>33118</v>
      </c>
      <c r="AJ6" s="4">
        <v>32364</v>
      </c>
      <c r="AK6" s="4">
        <v>32855</v>
      </c>
      <c r="AL6" s="4">
        <v>52441</v>
      </c>
    </row>
    <row r="7" spans="2:38" x14ac:dyDescent="0.3">
      <c r="B7" s="5" t="s">
        <v>67</v>
      </c>
      <c r="C7" s="6">
        <f t="shared" ref="C7:AL7" si="0">C4+C5+C6</f>
        <v>36343</v>
      </c>
      <c r="D7" s="6">
        <f t="shared" si="0"/>
        <v>35858.25</v>
      </c>
      <c r="E7" s="6">
        <f t="shared" si="0"/>
        <v>34301.25</v>
      </c>
      <c r="F7" s="6">
        <f t="shared" si="0"/>
        <v>36662.949999999997</v>
      </c>
      <c r="G7" s="6">
        <f t="shared" si="0"/>
        <v>36095.68</v>
      </c>
      <c r="H7" s="6">
        <f t="shared" si="0"/>
        <v>32249.15</v>
      </c>
      <c r="I7" s="6">
        <f t="shared" si="0"/>
        <v>44820.66</v>
      </c>
      <c r="J7" s="6">
        <f t="shared" si="0"/>
        <v>44871.880000000005</v>
      </c>
      <c r="K7" s="6">
        <f t="shared" si="0"/>
        <v>43963.880000000005</v>
      </c>
      <c r="L7" s="6">
        <f t="shared" si="0"/>
        <v>45311.99</v>
      </c>
      <c r="M7" s="6">
        <f t="shared" si="0"/>
        <v>47767.38</v>
      </c>
      <c r="N7" s="6">
        <f t="shared" si="0"/>
        <v>57098.74</v>
      </c>
      <c r="O7" s="6">
        <f t="shared" si="0"/>
        <v>51635.85</v>
      </c>
      <c r="P7" s="6">
        <f t="shared" si="0"/>
        <v>48845.85</v>
      </c>
      <c r="Q7" s="6">
        <f t="shared" si="0"/>
        <v>50878.34</v>
      </c>
      <c r="R7" s="6">
        <f t="shared" si="0"/>
        <v>52153.41</v>
      </c>
      <c r="S7" s="6">
        <f t="shared" si="0"/>
        <v>52180.03</v>
      </c>
      <c r="T7" s="6">
        <f t="shared" si="0"/>
        <v>51429.130000000005</v>
      </c>
      <c r="U7" s="6">
        <f t="shared" si="0"/>
        <v>49998.880000000005</v>
      </c>
      <c r="V7" s="6">
        <f t="shared" si="0"/>
        <v>44360.63</v>
      </c>
      <c r="W7" s="6">
        <f t="shared" si="0"/>
        <v>45678.78</v>
      </c>
      <c r="X7" s="6">
        <f t="shared" si="0"/>
        <v>49507.35</v>
      </c>
      <c r="Y7" s="6">
        <f t="shared" si="0"/>
        <v>54291.89</v>
      </c>
      <c r="Z7" s="6">
        <f t="shared" si="0"/>
        <v>61554.66</v>
      </c>
      <c r="AA7" s="6">
        <f t="shared" si="0"/>
        <v>58209.04</v>
      </c>
      <c r="AB7" s="6">
        <f t="shared" si="0"/>
        <v>58812.160000000003</v>
      </c>
      <c r="AC7" s="6">
        <f t="shared" si="0"/>
        <v>60761.759999999995</v>
      </c>
      <c r="AD7" s="6">
        <f t="shared" si="0"/>
        <v>64406.19</v>
      </c>
      <c r="AE7" s="6">
        <f t="shared" si="0"/>
        <v>63811.44</v>
      </c>
      <c r="AF7" s="6">
        <f t="shared" si="0"/>
        <v>64951.91</v>
      </c>
      <c r="AG7" s="6">
        <f t="shared" si="0"/>
        <v>63963.64</v>
      </c>
      <c r="AH7" s="6">
        <f t="shared" si="0"/>
        <v>64933.35</v>
      </c>
      <c r="AI7" s="6">
        <f t="shared" si="0"/>
        <v>67514.149999999994</v>
      </c>
      <c r="AJ7" s="6">
        <f t="shared" si="0"/>
        <v>73087.59</v>
      </c>
      <c r="AK7" s="6">
        <f t="shared" si="0"/>
        <v>78153.84</v>
      </c>
      <c r="AL7" s="6">
        <f t="shared" si="0"/>
        <v>92980.01</v>
      </c>
    </row>
    <row r="8" spans="2:38" x14ac:dyDescent="0.3">
      <c r="B8" t="s">
        <v>68</v>
      </c>
      <c r="C8" s="4">
        <v>20000</v>
      </c>
      <c r="D8" s="4">
        <v>20000</v>
      </c>
      <c r="E8" s="4">
        <v>20000</v>
      </c>
      <c r="F8" s="4">
        <v>20000</v>
      </c>
      <c r="G8" s="4">
        <v>20000</v>
      </c>
      <c r="H8" s="4">
        <v>23500</v>
      </c>
      <c r="I8" s="4">
        <v>23500</v>
      </c>
      <c r="J8" s="4">
        <v>23500</v>
      </c>
      <c r="K8" s="4">
        <v>23500</v>
      </c>
      <c r="L8" s="4">
        <v>23500</v>
      </c>
      <c r="M8" s="4">
        <v>23500</v>
      </c>
      <c r="N8" s="4">
        <v>23500</v>
      </c>
      <c r="O8" s="4">
        <v>23500</v>
      </c>
      <c r="P8" s="4">
        <v>23500</v>
      </c>
      <c r="Q8" s="4">
        <v>23500</v>
      </c>
      <c r="R8" s="4">
        <v>23500</v>
      </c>
      <c r="S8" s="4">
        <v>23500</v>
      </c>
      <c r="T8" s="4">
        <v>23500</v>
      </c>
      <c r="U8" s="4">
        <v>23500</v>
      </c>
      <c r="V8" s="4">
        <v>29500</v>
      </c>
      <c r="W8" s="4">
        <v>29500</v>
      </c>
      <c r="X8" s="4">
        <v>29500</v>
      </c>
      <c r="Y8" s="4">
        <v>29500</v>
      </c>
      <c r="Z8" s="4">
        <v>29500</v>
      </c>
      <c r="AA8" s="4">
        <v>29500</v>
      </c>
      <c r="AB8" s="4">
        <v>29500</v>
      </c>
      <c r="AC8" s="4">
        <v>29500</v>
      </c>
      <c r="AD8" s="4">
        <v>29500</v>
      </c>
      <c r="AE8" s="4">
        <v>29500</v>
      </c>
      <c r="AF8" s="4">
        <v>29500</v>
      </c>
      <c r="AG8" s="4">
        <v>29500</v>
      </c>
      <c r="AH8" s="4">
        <v>29500</v>
      </c>
      <c r="AI8" s="4">
        <v>29500</v>
      </c>
      <c r="AJ8" s="4">
        <v>29500</v>
      </c>
      <c r="AK8" s="4">
        <v>29500</v>
      </c>
      <c r="AL8" s="4">
        <v>29500</v>
      </c>
    </row>
    <row r="9" spans="2:38" x14ac:dyDescent="0.3">
      <c r="B9" s="5" t="s">
        <v>69</v>
      </c>
      <c r="C9" s="6">
        <f t="shared" ref="C9:AL9" si="1">C7+C8</f>
        <v>56343</v>
      </c>
      <c r="D9" s="6">
        <f t="shared" si="1"/>
        <v>55858.25</v>
      </c>
      <c r="E9" s="6">
        <f t="shared" si="1"/>
        <v>54301.25</v>
      </c>
      <c r="F9" s="6">
        <f t="shared" si="1"/>
        <v>56662.95</v>
      </c>
      <c r="G9" s="6">
        <f t="shared" si="1"/>
        <v>56095.68</v>
      </c>
      <c r="H9" s="6">
        <f t="shared" si="1"/>
        <v>55749.15</v>
      </c>
      <c r="I9" s="6">
        <f t="shared" si="1"/>
        <v>68320.66</v>
      </c>
      <c r="J9" s="6">
        <f t="shared" si="1"/>
        <v>68371.88</v>
      </c>
      <c r="K9" s="6">
        <f t="shared" si="1"/>
        <v>67463.88</v>
      </c>
      <c r="L9" s="6">
        <f t="shared" si="1"/>
        <v>68811.989999999991</v>
      </c>
      <c r="M9" s="6">
        <f t="shared" si="1"/>
        <v>71267.38</v>
      </c>
      <c r="N9" s="6">
        <f t="shared" si="1"/>
        <v>80598.739999999991</v>
      </c>
      <c r="O9" s="6">
        <f t="shared" si="1"/>
        <v>75135.850000000006</v>
      </c>
      <c r="P9" s="6">
        <f t="shared" si="1"/>
        <v>72345.850000000006</v>
      </c>
      <c r="Q9" s="6">
        <f t="shared" si="1"/>
        <v>74378.34</v>
      </c>
      <c r="R9" s="6">
        <f t="shared" si="1"/>
        <v>75653.41</v>
      </c>
      <c r="S9" s="6">
        <f t="shared" si="1"/>
        <v>75680.03</v>
      </c>
      <c r="T9" s="6">
        <f t="shared" si="1"/>
        <v>74929.13</v>
      </c>
      <c r="U9" s="6">
        <f t="shared" si="1"/>
        <v>73498.880000000005</v>
      </c>
      <c r="V9" s="6">
        <f t="shared" si="1"/>
        <v>73860.63</v>
      </c>
      <c r="W9" s="6">
        <f t="shared" si="1"/>
        <v>75178.78</v>
      </c>
      <c r="X9" s="6">
        <f t="shared" si="1"/>
        <v>79007.350000000006</v>
      </c>
      <c r="Y9" s="6">
        <f t="shared" si="1"/>
        <v>83791.89</v>
      </c>
      <c r="Z9" s="6">
        <f t="shared" si="1"/>
        <v>91054.66</v>
      </c>
      <c r="AA9" s="6">
        <f t="shared" si="1"/>
        <v>87709.040000000008</v>
      </c>
      <c r="AB9" s="6">
        <f t="shared" si="1"/>
        <v>88312.16</v>
      </c>
      <c r="AC9" s="6">
        <f t="shared" si="1"/>
        <v>90261.759999999995</v>
      </c>
      <c r="AD9" s="6">
        <f t="shared" si="1"/>
        <v>93906.19</v>
      </c>
      <c r="AE9" s="6">
        <f t="shared" si="1"/>
        <v>93311.44</v>
      </c>
      <c r="AF9" s="6">
        <f t="shared" si="1"/>
        <v>94451.91</v>
      </c>
      <c r="AG9" s="6">
        <f t="shared" si="1"/>
        <v>93463.64</v>
      </c>
      <c r="AH9" s="6">
        <f t="shared" si="1"/>
        <v>94433.35</v>
      </c>
      <c r="AI9" s="6">
        <f t="shared" si="1"/>
        <v>97014.15</v>
      </c>
      <c r="AJ9" s="6">
        <f t="shared" si="1"/>
        <v>102587.59</v>
      </c>
      <c r="AK9" s="6">
        <f t="shared" si="1"/>
        <v>107653.84</v>
      </c>
      <c r="AL9" s="6">
        <f t="shared" si="1"/>
        <v>122480.01</v>
      </c>
    </row>
    <row r="10" spans="2:38" x14ac:dyDescent="0.3">
      <c r="B10" t="s">
        <v>70</v>
      </c>
      <c r="C10" s="4">
        <v>3104</v>
      </c>
      <c r="D10" s="4">
        <v>3151</v>
      </c>
      <c r="E10" s="4">
        <v>2987</v>
      </c>
      <c r="F10" s="4">
        <v>4501</v>
      </c>
      <c r="G10" s="4">
        <v>3598</v>
      </c>
      <c r="H10" s="4">
        <v>3705</v>
      </c>
      <c r="I10" s="4">
        <v>3726</v>
      </c>
      <c r="J10" s="4">
        <v>3928</v>
      </c>
      <c r="K10" s="4">
        <v>4137</v>
      </c>
      <c r="L10" s="4">
        <v>4861</v>
      </c>
      <c r="M10" s="4">
        <v>5169</v>
      </c>
      <c r="N10" s="4">
        <v>7978</v>
      </c>
      <c r="O10" s="4">
        <v>3561</v>
      </c>
      <c r="P10" s="4">
        <v>3375</v>
      </c>
      <c r="Q10" s="4">
        <v>4469</v>
      </c>
      <c r="R10" s="4">
        <v>5123</v>
      </c>
      <c r="S10" s="4">
        <v>4497</v>
      </c>
      <c r="T10" s="4">
        <v>3799</v>
      </c>
      <c r="U10" s="4">
        <v>3741</v>
      </c>
      <c r="V10" s="4">
        <v>4610</v>
      </c>
      <c r="W10" s="4">
        <v>4417</v>
      </c>
      <c r="X10" s="4">
        <v>5002</v>
      </c>
      <c r="Y10" s="4">
        <v>6513</v>
      </c>
      <c r="Z10" s="4">
        <v>7395</v>
      </c>
      <c r="AA10" s="4">
        <v>4183</v>
      </c>
      <c r="AB10" s="4">
        <v>4208</v>
      </c>
      <c r="AC10" s="4">
        <v>4310</v>
      </c>
      <c r="AD10" s="4">
        <v>6129</v>
      </c>
      <c r="AE10" s="4">
        <v>5247</v>
      </c>
      <c r="AF10" s="4">
        <v>5854</v>
      </c>
      <c r="AG10" s="4">
        <v>4341</v>
      </c>
      <c r="AH10" s="4">
        <v>4873</v>
      </c>
      <c r="AI10" s="4">
        <v>5068</v>
      </c>
      <c r="AJ10" s="4">
        <v>5956</v>
      </c>
      <c r="AK10" s="4">
        <v>6152</v>
      </c>
      <c r="AL10" s="4">
        <v>9675</v>
      </c>
    </row>
    <row r="11" spans="2:38" x14ac:dyDescent="0.3">
      <c r="B11" t="s">
        <v>71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12000</v>
      </c>
      <c r="J11" s="4">
        <v>11500</v>
      </c>
      <c r="K11" s="4">
        <v>11000</v>
      </c>
      <c r="L11" s="4">
        <v>10500</v>
      </c>
      <c r="M11" s="4">
        <v>10000</v>
      </c>
      <c r="N11" s="4">
        <v>9500</v>
      </c>
      <c r="O11" s="4">
        <v>9000</v>
      </c>
      <c r="P11" s="4">
        <v>8500</v>
      </c>
      <c r="Q11" s="4">
        <v>8000</v>
      </c>
      <c r="R11" s="4">
        <v>7500</v>
      </c>
      <c r="S11" s="4">
        <v>7000</v>
      </c>
      <c r="T11" s="4">
        <v>6500</v>
      </c>
      <c r="U11" s="4">
        <v>6000</v>
      </c>
      <c r="V11" s="4">
        <v>5500</v>
      </c>
      <c r="W11" s="4">
        <v>5000</v>
      </c>
      <c r="X11" s="4">
        <v>4500</v>
      </c>
      <c r="Y11" s="4">
        <v>4000</v>
      </c>
      <c r="Z11" s="4">
        <v>3500</v>
      </c>
      <c r="AA11" s="4">
        <v>3000</v>
      </c>
      <c r="AB11" s="4">
        <v>2500</v>
      </c>
      <c r="AC11" s="4">
        <v>2000</v>
      </c>
      <c r="AD11" s="4">
        <v>1500</v>
      </c>
      <c r="AE11" s="4">
        <v>1000</v>
      </c>
      <c r="AF11" s="4">
        <v>500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</row>
    <row r="12" spans="2:38" x14ac:dyDescent="0.3">
      <c r="B12" s="5" t="s">
        <v>72</v>
      </c>
      <c r="C12" s="6">
        <f t="shared" ref="C12:AL12" si="2">C10+C11</f>
        <v>3104</v>
      </c>
      <c r="D12" s="6">
        <f t="shared" si="2"/>
        <v>3151</v>
      </c>
      <c r="E12" s="6">
        <f t="shared" si="2"/>
        <v>2987</v>
      </c>
      <c r="F12" s="6">
        <f t="shared" si="2"/>
        <v>4501</v>
      </c>
      <c r="G12" s="6">
        <f t="shared" si="2"/>
        <v>3598</v>
      </c>
      <c r="H12" s="6">
        <f t="shared" si="2"/>
        <v>3705</v>
      </c>
      <c r="I12" s="6">
        <f t="shared" si="2"/>
        <v>15726</v>
      </c>
      <c r="J12" s="6">
        <f t="shared" si="2"/>
        <v>15428</v>
      </c>
      <c r="K12" s="6">
        <f t="shared" si="2"/>
        <v>15137</v>
      </c>
      <c r="L12" s="6">
        <f t="shared" si="2"/>
        <v>15361</v>
      </c>
      <c r="M12" s="6">
        <f t="shared" si="2"/>
        <v>15169</v>
      </c>
      <c r="N12" s="6">
        <f t="shared" si="2"/>
        <v>17478</v>
      </c>
      <c r="O12" s="6">
        <f t="shared" si="2"/>
        <v>12561</v>
      </c>
      <c r="P12" s="6">
        <f t="shared" si="2"/>
        <v>11875</v>
      </c>
      <c r="Q12" s="6">
        <f t="shared" si="2"/>
        <v>12469</v>
      </c>
      <c r="R12" s="6">
        <f t="shared" si="2"/>
        <v>12623</v>
      </c>
      <c r="S12" s="6">
        <f t="shared" si="2"/>
        <v>11497</v>
      </c>
      <c r="T12" s="6">
        <f t="shared" si="2"/>
        <v>10299</v>
      </c>
      <c r="U12" s="6">
        <f t="shared" si="2"/>
        <v>9741</v>
      </c>
      <c r="V12" s="6">
        <f t="shared" si="2"/>
        <v>10110</v>
      </c>
      <c r="W12" s="6">
        <f t="shared" si="2"/>
        <v>9417</v>
      </c>
      <c r="X12" s="6">
        <f t="shared" si="2"/>
        <v>9502</v>
      </c>
      <c r="Y12" s="6">
        <f t="shared" si="2"/>
        <v>10513</v>
      </c>
      <c r="Z12" s="6">
        <f t="shared" si="2"/>
        <v>10895</v>
      </c>
      <c r="AA12" s="6">
        <f t="shared" si="2"/>
        <v>7183</v>
      </c>
      <c r="AB12" s="6">
        <f t="shared" si="2"/>
        <v>6708</v>
      </c>
      <c r="AC12" s="6">
        <f t="shared" si="2"/>
        <v>6310</v>
      </c>
      <c r="AD12" s="6">
        <f t="shared" si="2"/>
        <v>7629</v>
      </c>
      <c r="AE12" s="6">
        <f t="shared" si="2"/>
        <v>6247</v>
      </c>
      <c r="AF12" s="6">
        <f t="shared" si="2"/>
        <v>6354</v>
      </c>
      <c r="AG12" s="6">
        <f t="shared" si="2"/>
        <v>4341</v>
      </c>
      <c r="AH12" s="6">
        <f t="shared" si="2"/>
        <v>4873</v>
      </c>
      <c r="AI12" s="6">
        <f t="shared" si="2"/>
        <v>5068</v>
      </c>
      <c r="AJ12" s="6">
        <f t="shared" si="2"/>
        <v>5956</v>
      </c>
      <c r="AK12" s="6">
        <f t="shared" si="2"/>
        <v>6152</v>
      </c>
      <c r="AL12" s="6">
        <f t="shared" si="2"/>
        <v>9675</v>
      </c>
    </row>
    <row r="13" spans="2:38" x14ac:dyDescent="0.3">
      <c r="B13" t="s">
        <v>73</v>
      </c>
      <c r="C13" s="4">
        <v>41000</v>
      </c>
      <c r="D13" s="4">
        <v>41000</v>
      </c>
      <c r="E13" s="4">
        <v>41000</v>
      </c>
      <c r="F13" s="4">
        <v>41000</v>
      </c>
      <c r="G13" s="4">
        <v>41000</v>
      </c>
      <c r="H13" s="4">
        <v>41000</v>
      </c>
      <c r="I13" s="4">
        <v>41000</v>
      </c>
      <c r="J13" s="4">
        <v>41000</v>
      </c>
      <c r="K13" s="4">
        <v>41000</v>
      </c>
      <c r="L13" s="4">
        <v>41000</v>
      </c>
      <c r="M13" s="4">
        <v>41000</v>
      </c>
      <c r="N13" s="4">
        <v>41000</v>
      </c>
      <c r="O13" s="4">
        <v>41000</v>
      </c>
      <c r="P13" s="4">
        <v>41000</v>
      </c>
      <c r="Q13" s="4">
        <v>41000</v>
      </c>
      <c r="R13" s="4">
        <v>41000</v>
      </c>
      <c r="S13" s="4">
        <v>41000</v>
      </c>
      <c r="T13" s="4">
        <v>41000</v>
      </c>
      <c r="U13" s="4">
        <v>41000</v>
      </c>
      <c r="V13" s="4">
        <v>41000</v>
      </c>
      <c r="W13" s="4">
        <v>41000</v>
      </c>
      <c r="X13" s="4">
        <v>41000</v>
      </c>
      <c r="Y13" s="4">
        <v>41000</v>
      </c>
      <c r="Z13" s="4">
        <v>41000</v>
      </c>
      <c r="AA13" s="4">
        <v>41000</v>
      </c>
      <c r="AB13" s="4">
        <v>41000</v>
      </c>
      <c r="AC13" s="4">
        <v>41000</v>
      </c>
      <c r="AD13" s="4">
        <v>41000</v>
      </c>
      <c r="AE13" s="4">
        <v>41000</v>
      </c>
      <c r="AF13" s="4">
        <v>41000</v>
      </c>
      <c r="AG13" s="4">
        <v>41000</v>
      </c>
      <c r="AH13" s="4">
        <v>41000</v>
      </c>
      <c r="AI13" s="4">
        <v>41000</v>
      </c>
      <c r="AJ13" s="4">
        <v>41000</v>
      </c>
      <c r="AK13" s="4">
        <v>41000</v>
      </c>
      <c r="AL13" s="4">
        <v>41000</v>
      </c>
    </row>
    <row r="14" spans="2:38" x14ac:dyDescent="0.3">
      <c r="B14" t="s">
        <v>74</v>
      </c>
      <c r="C14" s="4">
        <v>12239</v>
      </c>
      <c r="D14" s="4">
        <v>11707.25</v>
      </c>
      <c r="E14" s="4">
        <v>10314.25</v>
      </c>
      <c r="F14" s="4">
        <v>11161.95</v>
      </c>
      <c r="G14" s="4">
        <v>11497.68</v>
      </c>
      <c r="H14" s="4">
        <v>11044.15</v>
      </c>
      <c r="I14" s="4">
        <v>11594.66</v>
      </c>
      <c r="J14" s="4">
        <v>11943.88</v>
      </c>
      <c r="K14" s="4">
        <v>11326.88</v>
      </c>
      <c r="L14" s="4">
        <v>12450.99</v>
      </c>
      <c r="M14" s="4">
        <v>15098.38</v>
      </c>
      <c r="N14" s="4">
        <v>22120.74</v>
      </c>
      <c r="O14" s="4">
        <v>21574.85</v>
      </c>
      <c r="P14" s="4">
        <v>19470.849999999999</v>
      </c>
      <c r="Q14" s="4">
        <v>20909.34</v>
      </c>
      <c r="R14" s="4">
        <v>22030.41</v>
      </c>
      <c r="S14" s="4">
        <v>23183.03</v>
      </c>
      <c r="T14" s="4">
        <v>23630.13</v>
      </c>
      <c r="U14" s="4">
        <v>22757.88</v>
      </c>
      <c r="V14" s="4">
        <v>22750.63</v>
      </c>
      <c r="W14" s="4">
        <v>24761.78</v>
      </c>
      <c r="X14" s="4">
        <v>28505.35</v>
      </c>
      <c r="Y14" s="4">
        <v>32278.89</v>
      </c>
      <c r="Z14" s="4">
        <v>39159.660000000003</v>
      </c>
      <c r="AA14" s="4">
        <v>39526.04</v>
      </c>
      <c r="AB14" s="4">
        <v>40604.160000000003</v>
      </c>
      <c r="AC14" s="4">
        <v>42951.76</v>
      </c>
      <c r="AD14" s="4">
        <v>45277.19</v>
      </c>
      <c r="AE14" s="4">
        <v>46064.44</v>
      </c>
      <c r="AF14" s="4">
        <v>47097.91</v>
      </c>
      <c r="AG14" s="4">
        <v>48122.64</v>
      </c>
      <c r="AH14" s="4">
        <v>48560.35</v>
      </c>
      <c r="AI14" s="4">
        <v>50946.15</v>
      </c>
      <c r="AJ14" s="4">
        <v>55631.59</v>
      </c>
      <c r="AK14" s="4">
        <v>60501.84</v>
      </c>
      <c r="AL14" s="4">
        <v>71805.009999999995</v>
      </c>
    </row>
    <row r="15" spans="2:38" x14ac:dyDescent="0.3">
      <c r="B15" s="5" t="s">
        <v>75</v>
      </c>
      <c r="C15" s="6">
        <f t="shared" ref="C15:AL15" si="3">C13+C14</f>
        <v>53239</v>
      </c>
      <c r="D15" s="6">
        <f t="shared" si="3"/>
        <v>52707.25</v>
      </c>
      <c r="E15" s="6">
        <f t="shared" si="3"/>
        <v>51314.25</v>
      </c>
      <c r="F15" s="6">
        <f t="shared" si="3"/>
        <v>52161.95</v>
      </c>
      <c r="G15" s="6">
        <f t="shared" si="3"/>
        <v>52497.68</v>
      </c>
      <c r="H15" s="6">
        <f t="shared" si="3"/>
        <v>52044.15</v>
      </c>
      <c r="I15" s="6">
        <f t="shared" si="3"/>
        <v>52594.66</v>
      </c>
      <c r="J15" s="6">
        <f t="shared" si="3"/>
        <v>52943.88</v>
      </c>
      <c r="K15" s="6">
        <f t="shared" si="3"/>
        <v>52326.879999999997</v>
      </c>
      <c r="L15" s="6">
        <f t="shared" si="3"/>
        <v>53450.99</v>
      </c>
      <c r="M15" s="6">
        <f t="shared" si="3"/>
        <v>56098.38</v>
      </c>
      <c r="N15" s="6">
        <f t="shared" si="3"/>
        <v>63120.740000000005</v>
      </c>
      <c r="O15" s="6">
        <f t="shared" si="3"/>
        <v>62574.85</v>
      </c>
      <c r="P15" s="6">
        <f t="shared" si="3"/>
        <v>60470.85</v>
      </c>
      <c r="Q15" s="6">
        <f t="shared" si="3"/>
        <v>61909.34</v>
      </c>
      <c r="R15" s="6">
        <f t="shared" si="3"/>
        <v>63030.41</v>
      </c>
      <c r="S15" s="6">
        <f t="shared" si="3"/>
        <v>64183.03</v>
      </c>
      <c r="T15" s="6">
        <f t="shared" si="3"/>
        <v>64630.130000000005</v>
      </c>
      <c r="U15" s="6">
        <f t="shared" si="3"/>
        <v>63757.880000000005</v>
      </c>
      <c r="V15" s="6">
        <f t="shared" si="3"/>
        <v>63750.630000000005</v>
      </c>
      <c r="W15" s="6">
        <f t="shared" si="3"/>
        <v>65761.78</v>
      </c>
      <c r="X15" s="6">
        <f t="shared" si="3"/>
        <v>69505.350000000006</v>
      </c>
      <c r="Y15" s="6">
        <f t="shared" si="3"/>
        <v>73278.89</v>
      </c>
      <c r="Z15" s="6">
        <f t="shared" si="3"/>
        <v>80159.66</v>
      </c>
      <c r="AA15" s="6">
        <f t="shared" si="3"/>
        <v>80526.040000000008</v>
      </c>
      <c r="AB15" s="6">
        <f t="shared" si="3"/>
        <v>81604.160000000003</v>
      </c>
      <c r="AC15" s="6">
        <f t="shared" si="3"/>
        <v>83951.760000000009</v>
      </c>
      <c r="AD15" s="6">
        <f t="shared" si="3"/>
        <v>86277.19</v>
      </c>
      <c r="AE15" s="6">
        <f t="shared" si="3"/>
        <v>87064.44</v>
      </c>
      <c r="AF15" s="6">
        <f t="shared" si="3"/>
        <v>88097.91</v>
      </c>
      <c r="AG15" s="6">
        <f t="shared" si="3"/>
        <v>89122.64</v>
      </c>
      <c r="AH15" s="6">
        <f t="shared" si="3"/>
        <v>89560.35</v>
      </c>
      <c r="AI15" s="6">
        <f t="shared" si="3"/>
        <v>91946.15</v>
      </c>
      <c r="AJ15" s="6">
        <f t="shared" si="3"/>
        <v>96631.59</v>
      </c>
      <c r="AK15" s="6">
        <f t="shared" si="3"/>
        <v>101501.84</v>
      </c>
      <c r="AL15" s="6">
        <f t="shared" si="3"/>
        <v>112805.01</v>
      </c>
    </row>
    <row r="16" spans="2:38" x14ac:dyDescent="0.3">
      <c r="B16" s="5" t="s">
        <v>76</v>
      </c>
      <c r="C16" s="6">
        <f t="shared" ref="C16:AL16" si="4">C12+C15</f>
        <v>56343</v>
      </c>
      <c r="D16" s="6">
        <f t="shared" si="4"/>
        <v>55858.25</v>
      </c>
      <c r="E16" s="6">
        <f t="shared" si="4"/>
        <v>54301.25</v>
      </c>
      <c r="F16" s="6">
        <f t="shared" si="4"/>
        <v>56662.95</v>
      </c>
      <c r="G16" s="6">
        <f t="shared" si="4"/>
        <v>56095.68</v>
      </c>
      <c r="H16" s="6">
        <f t="shared" si="4"/>
        <v>55749.15</v>
      </c>
      <c r="I16" s="6">
        <f t="shared" si="4"/>
        <v>68320.66</v>
      </c>
      <c r="J16" s="6">
        <f t="shared" si="4"/>
        <v>68371.88</v>
      </c>
      <c r="K16" s="6">
        <f t="shared" si="4"/>
        <v>67463.88</v>
      </c>
      <c r="L16" s="6">
        <f t="shared" si="4"/>
        <v>68811.989999999991</v>
      </c>
      <c r="M16" s="6">
        <f t="shared" si="4"/>
        <v>71267.38</v>
      </c>
      <c r="N16" s="6">
        <f t="shared" si="4"/>
        <v>80598.740000000005</v>
      </c>
      <c r="O16" s="6">
        <f t="shared" si="4"/>
        <v>75135.850000000006</v>
      </c>
      <c r="P16" s="6">
        <f t="shared" si="4"/>
        <v>72345.850000000006</v>
      </c>
      <c r="Q16" s="6">
        <f t="shared" si="4"/>
        <v>74378.34</v>
      </c>
      <c r="R16" s="6">
        <f t="shared" si="4"/>
        <v>75653.41</v>
      </c>
      <c r="S16" s="6">
        <f t="shared" si="4"/>
        <v>75680.03</v>
      </c>
      <c r="T16" s="6">
        <f t="shared" si="4"/>
        <v>74929.13</v>
      </c>
      <c r="U16" s="6">
        <f t="shared" si="4"/>
        <v>73498.880000000005</v>
      </c>
      <c r="V16" s="6">
        <f t="shared" si="4"/>
        <v>73860.63</v>
      </c>
      <c r="W16" s="6">
        <f t="shared" si="4"/>
        <v>75178.78</v>
      </c>
      <c r="X16" s="6">
        <f t="shared" si="4"/>
        <v>79007.350000000006</v>
      </c>
      <c r="Y16" s="6">
        <f t="shared" si="4"/>
        <v>83791.89</v>
      </c>
      <c r="Z16" s="6">
        <f t="shared" si="4"/>
        <v>91054.66</v>
      </c>
      <c r="AA16" s="6">
        <f t="shared" si="4"/>
        <v>87709.040000000008</v>
      </c>
      <c r="AB16" s="6">
        <f t="shared" si="4"/>
        <v>88312.16</v>
      </c>
      <c r="AC16" s="6">
        <f t="shared" si="4"/>
        <v>90261.760000000009</v>
      </c>
      <c r="AD16" s="6">
        <f t="shared" si="4"/>
        <v>93906.19</v>
      </c>
      <c r="AE16" s="6">
        <f t="shared" si="4"/>
        <v>93311.44</v>
      </c>
      <c r="AF16" s="6">
        <f t="shared" si="4"/>
        <v>94451.91</v>
      </c>
      <c r="AG16" s="6">
        <f t="shared" si="4"/>
        <v>93463.64</v>
      </c>
      <c r="AH16" s="6">
        <f t="shared" si="4"/>
        <v>94433.35</v>
      </c>
      <c r="AI16" s="6">
        <f t="shared" si="4"/>
        <v>97014.15</v>
      </c>
      <c r="AJ16" s="6">
        <f t="shared" si="4"/>
        <v>102587.59</v>
      </c>
      <c r="AK16" s="6">
        <f t="shared" si="4"/>
        <v>107653.84</v>
      </c>
      <c r="AL16" s="6">
        <f t="shared" si="4"/>
        <v>122480.01</v>
      </c>
    </row>
    <row r="17" spans="2:38" x14ac:dyDescent="0.3">
      <c r="B17" s="5" t="s">
        <v>77</v>
      </c>
      <c r="C17" s="6">
        <f>C9-C16</f>
        <v>0</v>
      </c>
      <c r="D17" s="6">
        <f t="shared" ref="C17:AL17" si="5">D9-D16</f>
        <v>0</v>
      </c>
      <c r="E17" s="6">
        <f t="shared" si="5"/>
        <v>0</v>
      </c>
      <c r="F17" s="6">
        <f t="shared" si="5"/>
        <v>0</v>
      </c>
      <c r="G17" s="6">
        <f t="shared" si="5"/>
        <v>0</v>
      </c>
      <c r="H17" s="6">
        <f t="shared" si="5"/>
        <v>0</v>
      </c>
      <c r="I17" s="6">
        <f t="shared" si="5"/>
        <v>0</v>
      </c>
      <c r="J17" s="6">
        <f t="shared" si="5"/>
        <v>0</v>
      </c>
      <c r="K17" s="6">
        <f t="shared" si="5"/>
        <v>0</v>
      </c>
      <c r="L17" s="6">
        <f t="shared" si="5"/>
        <v>0</v>
      </c>
      <c r="M17" s="6">
        <f t="shared" si="5"/>
        <v>0</v>
      </c>
      <c r="N17" s="6">
        <f t="shared" si="5"/>
        <v>0</v>
      </c>
      <c r="O17" s="6">
        <f t="shared" si="5"/>
        <v>0</v>
      </c>
      <c r="P17" s="6">
        <f t="shared" si="5"/>
        <v>0</v>
      </c>
      <c r="Q17" s="6">
        <f t="shared" si="5"/>
        <v>0</v>
      </c>
      <c r="R17" s="6">
        <f t="shared" si="5"/>
        <v>0</v>
      </c>
      <c r="S17" s="6">
        <f t="shared" si="5"/>
        <v>0</v>
      </c>
      <c r="T17" s="6">
        <f t="shared" si="5"/>
        <v>0</v>
      </c>
      <c r="U17" s="6">
        <f t="shared" si="5"/>
        <v>0</v>
      </c>
      <c r="V17" s="6">
        <f t="shared" si="5"/>
        <v>0</v>
      </c>
      <c r="W17" s="6">
        <f t="shared" si="5"/>
        <v>0</v>
      </c>
      <c r="X17" s="6">
        <f t="shared" si="5"/>
        <v>0</v>
      </c>
      <c r="Y17" s="6">
        <f t="shared" si="5"/>
        <v>0</v>
      </c>
      <c r="Z17" s="6">
        <f t="shared" si="5"/>
        <v>0</v>
      </c>
      <c r="AA17" s="6">
        <f t="shared" si="5"/>
        <v>0</v>
      </c>
      <c r="AB17" s="6">
        <f t="shared" si="5"/>
        <v>0</v>
      </c>
      <c r="AC17" s="6">
        <f t="shared" si="5"/>
        <v>0</v>
      </c>
      <c r="AD17" s="6">
        <f t="shared" si="5"/>
        <v>0</v>
      </c>
      <c r="AE17" s="6">
        <f t="shared" si="5"/>
        <v>0</v>
      </c>
      <c r="AF17" s="6">
        <f t="shared" si="5"/>
        <v>0</v>
      </c>
      <c r="AG17" s="6">
        <f t="shared" si="5"/>
        <v>0</v>
      </c>
      <c r="AH17" s="6">
        <f t="shared" si="5"/>
        <v>0</v>
      </c>
      <c r="AI17" s="6">
        <f t="shared" si="5"/>
        <v>0</v>
      </c>
      <c r="AJ17" s="6">
        <f t="shared" si="5"/>
        <v>0</v>
      </c>
      <c r="AK17" s="6">
        <f t="shared" si="5"/>
        <v>0</v>
      </c>
      <c r="AL17" s="6">
        <f t="shared" si="5"/>
        <v>0</v>
      </c>
    </row>
    <row r="20" spans="2:38" x14ac:dyDescent="0.3">
      <c r="B20" s="8" t="s">
        <v>58</v>
      </c>
    </row>
    <row r="21" spans="2:38" x14ac:dyDescent="0.3">
      <c r="B21" s="9" t="s">
        <v>78</v>
      </c>
    </row>
    <row r="22" spans="2:38" x14ac:dyDescent="0.3">
      <c r="B22" s="9" t="s">
        <v>79</v>
      </c>
    </row>
    <row r="23" spans="2:38" x14ac:dyDescent="0.3">
      <c r="B23" s="9" t="s">
        <v>80</v>
      </c>
    </row>
    <row r="24" spans="2:38" x14ac:dyDescent="0.3">
      <c r="B24" s="9" t="s">
        <v>81</v>
      </c>
    </row>
    <row r="25" spans="2:38" x14ac:dyDescent="0.3">
      <c r="B25" s="9" t="s">
        <v>82</v>
      </c>
    </row>
    <row r="26" spans="2:38" x14ac:dyDescent="0.3">
      <c r="B26" s="9" t="s">
        <v>83</v>
      </c>
    </row>
  </sheetData>
  <mergeCells count="1">
    <mergeCell ref="B1:A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L25"/>
  <sheetViews>
    <sheetView tabSelected="1" zoomScaleNormal="100" workbookViewId="0">
      <pane xSplit="2" ySplit="3" topLeftCell="Y4" activePane="bottomRight" state="frozen"/>
      <selection pane="topRight" activeCell="B1" sqref="B1"/>
      <selection pane="bottomLeft" activeCell="A4" sqref="A4"/>
      <selection pane="bottomRight" activeCell="A11" sqref="A11"/>
    </sheetView>
  </sheetViews>
  <sheetFormatPr defaultColWidth="8.6640625" defaultRowHeight="14.4" x14ac:dyDescent="0.3"/>
  <cols>
    <col min="1" max="1" width="5.33203125" customWidth="1"/>
    <col min="2" max="2" width="146.6640625" bestFit="1" customWidth="1"/>
    <col min="3" max="38" width="11" customWidth="1"/>
  </cols>
  <sheetData>
    <row r="1" spans="2:38" ht="24" customHeight="1" x14ac:dyDescent="0.3">
      <c r="B1" s="14" t="s">
        <v>84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3" spans="2:38" x14ac:dyDescent="0.3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</row>
    <row r="4" spans="2:38" x14ac:dyDescent="0.3">
      <c r="B4" s="10" t="s">
        <v>85</v>
      </c>
      <c r="C4" s="11">
        <f>'Income Statement'!C22</f>
        <v>-557</v>
      </c>
      <c r="D4" s="11">
        <f>'Income Statement'!D22</f>
        <v>375.25</v>
      </c>
      <c r="E4" s="11">
        <f>'Income Statement'!E22</f>
        <v>-482</v>
      </c>
      <c r="F4" s="11">
        <f>'Income Statement'!F22</f>
        <v>1761.7</v>
      </c>
      <c r="G4" s="11">
        <f>'Income Statement'!G22</f>
        <v>1253.73</v>
      </c>
      <c r="H4" s="11">
        <f>'Income Statement'!H22</f>
        <v>468.47</v>
      </c>
      <c r="I4" s="11">
        <f>'Income Statement'!I22</f>
        <v>1476.51</v>
      </c>
      <c r="J4" s="11">
        <f>'Income Statement'!J22</f>
        <v>1278.22</v>
      </c>
      <c r="K4" s="11">
        <f>'Income Statement'!K22</f>
        <v>316</v>
      </c>
      <c r="L4" s="11">
        <f>'Income Statement'!L22</f>
        <v>2061.11</v>
      </c>
      <c r="M4" s="11">
        <f>'Income Statement'!M22</f>
        <v>3587.39</v>
      </c>
      <c r="N4" s="11">
        <f>'Income Statement'!N22</f>
        <v>7966.3600000000006</v>
      </c>
      <c r="O4" s="11">
        <f>'Income Statement'!O22</f>
        <v>402.11</v>
      </c>
      <c r="P4" s="11">
        <f>'Income Statement'!P22</f>
        <v>-1152</v>
      </c>
      <c r="Q4" s="11">
        <f>'Income Statement'!Q22</f>
        <v>2394.4899999999998</v>
      </c>
      <c r="R4" s="11">
        <f>'Income Statement'!R22</f>
        <v>2080.0700000000002</v>
      </c>
      <c r="S4" s="11">
        <f>'Income Statement'!S22</f>
        <v>2115.62</v>
      </c>
      <c r="T4" s="11">
        <f>'Income Statement'!T22</f>
        <v>1414.1</v>
      </c>
      <c r="U4" s="11">
        <f>'Income Statement'!U22</f>
        <v>98.75</v>
      </c>
      <c r="V4" s="11">
        <f>'Income Statement'!V22</f>
        <v>967.75</v>
      </c>
      <c r="W4" s="11">
        <f>'Income Statement'!W22</f>
        <v>2990.15</v>
      </c>
      <c r="X4" s="11">
        <f>'Income Statement'!X22</f>
        <v>4726.57</v>
      </c>
      <c r="Y4" s="11">
        <f>'Income Statement'!Y22</f>
        <v>4760.54</v>
      </c>
      <c r="Z4" s="11">
        <f>'Income Statement'!Z22</f>
        <v>7870.77</v>
      </c>
      <c r="AA4" s="11">
        <f>'Income Statement'!AA22</f>
        <v>1360.38</v>
      </c>
      <c r="AB4" s="11">
        <f>'Income Statement'!AB22</f>
        <v>2076.12</v>
      </c>
      <c r="AC4" s="11">
        <f>'Income Statement'!AC22</f>
        <v>3349.6</v>
      </c>
      <c r="AD4" s="11">
        <f>'Income Statement'!AD22</f>
        <v>3331.4300000000003</v>
      </c>
      <c r="AE4" s="11">
        <f>'Income Statement'!AE22</f>
        <v>1797.25</v>
      </c>
      <c r="AF4" s="11">
        <f>'Income Statement'!AF22</f>
        <v>2048.4700000000003</v>
      </c>
      <c r="AG4" s="11">
        <f>'Income Statement'!AG22</f>
        <v>2043.73</v>
      </c>
      <c r="AH4" s="11">
        <f>'Income Statement'!AH22</f>
        <v>1460.71</v>
      </c>
      <c r="AI4" s="11">
        <f>'Income Statement'!AI22</f>
        <v>3412.8</v>
      </c>
      <c r="AJ4" s="11">
        <f>'Income Statement'!AJ22</f>
        <v>5716.4400000000005</v>
      </c>
      <c r="AK4" s="11">
        <f>'Income Statement'!AK22</f>
        <v>5905.25</v>
      </c>
      <c r="AL4" s="11">
        <f>'Income Statement'!AL22</f>
        <v>12342.17</v>
      </c>
    </row>
    <row r="5" spans="2:38" x14ac:dyDescent="0.3">
      <c r="B5" s="5" t="s">
        <v>86</v>
      </c>
      <c r="C5" s="12">
        <f>-('Balance Sheet'!C5-2200)</f>
        <v>-1222</v>
      </c>
      <c r="D5" s="12">
        <f>-('Balance Sheet'!D5-'Balance Sheet'!C5)</f>
        <v>-785</v>
      </c>
      <c r="E5" s="12">
        <f>-('Balance Sheet'!E5-'Balance Sheet'!D5)</f>
        <v>308</v>
      </c>
      <c r="F5" s="12">
        <f>-('Balance Sheet'!F5-'Balance Sheet'!E5)</f>
        <v>-1091</v>
      </c>
      <c r="G5" s="12">
        <f>-('Balance Sheet'!G5-'Balance Sheet'!F5)</f>
        <v>389</v>
      </c>
      <c r="H5" s="12">
        <f>-('Balance Sheet'!H5-'Balance Sheet'!G5)</f>
        <v>-451</v>
      </c>
      <c r="I5" s="12">
        <f>-('Balance Sheet'!I5-'Balance Sheet'!H5)</f>
        <v>-30</v>
      </c>
      <c r="J5" s="12">
        <f>-('Balance Sheet'!J5-'Balance Sheet'!I5)</f>
        <v>-282</v>
      </c>
      <c r="K5" s="12">
        <f>-('Balance Sheet'!K5-'Balance Sheet'!J5)</f>
        <v>9</v>
      </c>
      <c r="L5" s="12">
        <f>-('Balance Sheet'!L5-'Balance Sheet'!K5)</f>
        <v>-794</v>
      </c>
      <c r="M5" s="12">
        <f>-('Balance Sheet'!M5-'Balance Sheet'!L5)</f>
        <v>39</v>
      </c>
      <c r="N5" s="12">
        <f>-('Balance Sheet'!N5-'Balance Sheet'!M5)</f>
        <v>-2590</v>
      </c>
      <c r="O5" s="12">
        <f>-('Balance Sheet'!O5-'Balance Sheet'!N5)</f>
        <v>4057</v>
      </c>
      <c r="P5" s="12">
        <f>-('Balance Sheet'!P5-'Balance Sheet'!O5)</f>
        <v>681</v>
      </c>
      <c r="Q5" s="12">
        <f>-('Balance Sheet'!Q5-'Balance Sheet'!P5)</f>
        <v>-1886</v>
      </c>
      <c r="R5" s="12">
        <f>-('Balance Sheet'!R5-'Balance Sheet'!Q5)</f>
        <v>32</v>
      </c>
      <c r="S5" s="12">
        <f>-('Balance Sheet'!S5-'Balance Sheet'!R5)</f>
        <v>566</v>
      </c>
      <c r="T5" s="12">
        <f>-('Balance Sheet'!T5-'Balance Sheet'!S5)</f>
        <v>519</v>
      </c>
      <c r="U5" s="12">
        <f>-('Balance Sheet'!U5-'Balance Sheet'!T5)</f>
        <v>-185</v>
      </c>
      <c r="V5" s="12">
        <f>-('Balance Sheet'!V5-'Balance Sheet'!U5)</f>
        <v>-575</v>
      </c>
      <c r="W5" s="12">
        <f>-('Balance Sheet'!W5-'Balance Sheet'!V5)</f>
        <v>-1525</v>
      </c>
      <c r="X5" s="12">
        <f>-('Balance Sheet'!X5-'Balance Sheet'!W5)</f>
        <v>422</v>
      </c>
      <c r="Y5" s="12">
        <f>-('Balance Sheet'!Y5-'Balance Sheet'!X5)</f>
        <v>-1580</v>
      </c>
      <c r="Z5" s="12">
        <f>-('Balance Sheet'!Z5-'Balance Sheet'!Y5)</f>
        <v>-1787</v>
      </c>
      <c r="AA5" s="12">
        <f>-('Balance Sheet'!AA5-'Balance Sheet'!Z5)</f>
        <v>5273</v>
      </c>
      <c r="AB5" s="12">
        <f>-('Balance Sheet'!AB5-'Balance Sheet'!AA5)</f>
        <v>-852</v>
      </c>
      <c r="AC5" s="12">
        <f>-('Balance Sheet'!AC5-'Balance Sheet'!AB5)</f>
        <v>-336</v>
      </c>
      <c r="AD5" s="12">
        <f>-('Balance Sheet'!AD5-'Balance Sheet'!AC5)</f>
        <v>-756</v>
      </c>
      <c r="AE5" s="12">
        <f>-('Balance Sheet'!AE5-'Balance Sheet'!AD5)</f>
        <v>-35</v>
      </c>
      <c r="AF5" s="12">
        <f>-('Balance Sheet'!AF5-'Balance Sheet'!AE5)</f>
        <v>-245</v>
      </c>
      <c r="AG5" s="12">
        <f>-('Balance Sheet'!AG5-'Balance Sheet'!AF5)</f>
        <v>344</v>
      </c>
      <c r="AH5" s="12">
        <f>-('Balance Sheet'!AH5-'Balance Sheet'!AG5)</f>
        <v>165</v>
      </c>
      <c r="AI5" s="12">
        <f>-('Balance Sheet'!AI5-'Balance Sheet'!AH5)</f>
        <v>-1093</v>
      </c>
      <c r="AJ5" s="12">
        <f>-('Balance Sheet'!AJ5-'Balance Sheet'!AI5)</f>
        <v>-556</v>
      </c>
      <c r="AK5" s="12">
        <f>-('Balance Sheet'!AK5-'Balance Sheet'!AJ5)</f>
        <v>-165</v>
      </c>
      <c r="AL5" s="12">
        <f>-('Balance Sheet'!AL5-'Balance Sheet'!AK5)</f>
        <v>-3614</v>
      </c>
    </row>
    <row r="6" spans="2:38" x14ac:dyDescent="0.3">
      <c r="B6" s="5" t="s">
        <v>87</v>
      </c>
      <c r="C6" s="12">
        <f>-('Balance Sheet'!C6-17000)</f>
        <v>-1503</v>
      </c>
      <c r="D6" s="12">
        <f>-('Balance Sheet'!D6-'Balance Sheet'!C6)</f>
        <v>-252</v>
      </c>
      <c r="E6" s="12">
        <f>-('Balance Sheet'!E6-'Balance Sheet'!D6)</f>
        <v>2010</v>
      </c>
      <c r="F6" s="12">
        <f>-('Balance Sheet'!F6-'Balance Sheet'!E6)</f>
        <v>-6800</v>
      </c>
      <c r="G6" s="12">
        <f>-('Balance Sheet'!G6-'Balance Sheet'!F6)</f>
        <v>3537</v>
      </c>
      <c r="H6" s="12">
        <f>-('Balance Sheet'!H6-'Balance Sheet'!G6)</f>
        <v>5</v>
      </c>
      <c r="I6" s="12">
        <f>-('Balance Sheet'!I6-'Balance Sheet'!H6)</f>
        <v>1460</v>
      </c>
      <c r="J6" s="12">
        <f>-('Balance Sheet'!J6-'Balance Sheet'!I6)</f>
        <v>-2071</v>
      </c>
      <c r="K6" s="12">
        <f>-('Balance Sheet'!K6-'Balance Sheet'!J6)</f>
        <v>-899</v>
      </c>
      <c r="L6" s="12">
        <f>-('Balance Sheet'!L6-'Balance Sheet'!K6)</f>
        <v>-6681</v>
      </c>
      <c r="M6" s="12">
        <f>-('Balance Sheet'!M6-'Balance Sheet'!L6)</f>
        <v>-1858</v>
      </c>
      <c r="N6" s="12">
        <f>-('Balance Sheet'!N6-'Balance Sheet'!M6)</f>
        <v>-9167</v>
      </c>
      <c r="O6" s="12">
        <f>-('Balance Sheet'!O6-'Balance Sheet'!N6)</f>
        <v>20407</v>
      </c>
      <c r="P6" s="12">
        <f>-('Balance Sheet'!P6-'Balance Sheet'!O6)</f>
        <v>-815</v>
      </c>
      <c r="Q6" s="12">
        <f>-('Balance Sheet'!Q6-'Balance Sheet'!P6)</f>
        <v>-5107</v>
      </c>
      <c r="R6" s="12">
        <f>-('Balance Sheet'!R6-'Balance Sheet'!Q6)</f>
        <v>-154</v>
      </c>
      <c r="S6" s="12">
        <f>-('Balance Sheet'!S6-'Balance Sheet'!R6)</f>
        <v>-1899</v>
      </c>
      <c r="T6" s="12">
        <f>-('Balance Sheet'!T6-'Balance Sheet'!S6)</f>
        <v>5271</v>
      </c>
      <c r="U6" s="12">
        <f>-('Balance Sheet'!U6-'Balance Sheet'!T6)</f>
        <v>-559</v>
      </c>
      <c r="V6" s="12">
        <f>-('Balance Sheet'!V6-'Balance Sheet'!U6)</f>
        <v>-2207</v>
      </c>
      <c r="W6" s="12">
        <f>-('Balance Sheet'!W6-'Balance Sheet'!V6)</f>
        <v>-5449</v>
      </c>
      <c r="X6" s="12">
        <f>-('Balance Sheet'!X6-'Balance Sheet'!W6)</f>
        <v>-1294</v>
      </c>
      <c r="Y6" s="12">
        <f>-('Balance Sheet'!Y6-'Balance Sheet'!X6)</f>
        <v>-4046</v>
      </c>
      <c r="Z6" s="12">
        <f>-('Balance Sheet'!Z6-'Balance Sheet'!Y6)</f>
        <v>-14505</v>
      </c>
      <c r="AA6" s="12">
        <f>-('Balance Sheet'!AA6-'Balance Sheet'!Z6)</f>
        <v>28066</v>
      </c>
      <c r="AB6" s="12">
        <f>-('Balance Sheet'!AB6-'Balance Sheet'!AA6)</f>
        <v>-1740</v>
      </c>
      <c r="AC6" s="12">
        <f>-('Balance Sheet'!AC6-'Balance Sheet'!AB6)</f>
        <v>-2847</v>
      </c>
      <c r="AD6" s="12">
        <f>-('Balance Sheet'!AD6-'Balance Sheet'!AC6)</f>
        <v>-5031</v>
      </c>
      <c r="AE6" s="12">
        <f>-('Balance Sheet'!AE6-'Balance Sheet'!AD6)</f>
        <v>1353</v>
      </c>
      <c r="AF6" s="12">
        <f>-('Balance Sheet'!AF6-'Balance Sheet'!AE6)</f>
        <v>-3132</v>
      </c>
      <c r="AG6" s="12">
        <f>-('Balance Sheet'!AG6-'Balance Sheet'!AF6)</f>
        <v>2335</v>
      </c>
      <c r="AH6" s="12">
        <f>-('Balance Sheet'!AH6-'Balance Sheet'!AG6)</f>
        <v>4180</v>
      </c>
      <c r="AI6" s="12">
        <f>-('Balance Sheet'!AI6-'Balance Sheet'!AH6)</f>
        <v>-6726</v>
      </c>
      <c r="AJ6" s="12">
        <f>-('Balance Sheet'!AJ6-'Balance Sheet'!AI6)</f>
        <v>754</v>
      </c>
      <c r="AK6" s="12">
        <f>-('Balance Sheet'!AK6-'Balance Sheet'!AJ6)</f>
        <v>-491</v>
      </c>
      <c r="AL6" s="12">
        <f>-('Balance Sheet'!AL6-'Balance Sheet'!AK6)</f>
        <v>-19586</v>
      </c>
    </row>
    <row r="7" spans="2:38" x14ac:dyDescent="0.3">
      <c r="B7" s="5" t="s">
        <v>88</v>
      </c>
      <c r="C7" s="12">
        <f>('Balance Sheet'!C10-6500)</f>
        <v>-3396</v>
      </c>
      <c r="D7" s="12">
        <f>('Balance Sheet'!D10-'Balance Sheet'!C10)</f>
        <v>47</v>
      </c>
      <c r="E7" s="12">
        <f>('Balance Sheet'!E10-'Balance Sheet'!D10)</f>
        <v>-164</v>
      </c>
      <c r="F7" s="12">
        <f>('Balance Sheet'!F10-'Balance Sheet'!E10)</f>
        <v>1514</v>
      </c>
      <c r="G7" s="12">
        <f>('Balance Sheet'!G10-'Balance Sheet'!F10)</f>
        <v>-903</v>
      </c>
      <c r="H7" s="12">
        <f>('Balance Sheet'!H10-'Balance Sheet'!G10)</f>
        <v>107</v>
      </c>
      <c r="I7" s="12">
        <f>('Balance Sheet'!I10-'Balance Sheet'!H10)</f>
        <v>21</v>
      </c>
      <c r="J7" s="12">
        <f>('Balance Sheet'!J10-'Balance Sheet'!I10)</f>
        <v>202</v>
      </c>
      <c r="K7" s="12">
        <f>('Balance Sheet'!K10-'Balance Sheet'!J10)</f>
        <v>209</v>
      </c>
      <c r="L7" s="12">
        <f>('Balance Sheet'!L10-'Balance Sheet'!K10)</f>
        <v>724</v>
      </c>
      <c r="M7" s="12">
        <f>('Balance Sheet'!M10-'Balance Sheet'!L10)</f>
        <v>308</v>
      </c>
      <c r="N7" s="12">
        <f>('Balance Sheet'!N10-'Balance Sheet'!M10)</f>
        <v>2809</v>
      </c>
      <c r="O7" s="12">
        <f>('Balance Sheet'!O10-'Balance Sheet'!N10)</f>
        <v>-4417</v>
      </c>
      <c r="P7" s="12">
        <f>('Balance Sheet'!P10-'Balance Sheet'!O10)</f>
        <v>-186</v>
      </c>
      <c r="Q7" s="12">
        <f>('Balance Sheet'!Q10-'Balance Sheet'!P10)</f>
        <v>1094</v>
      </c>
      <c r="R7" s="12">
        <f>('Balance Sheet'!R10-'Balance Sheet'!Q10)</f>
        <v>654</v>
      </c>
      <c r="S7" s="12">
        <f>('Balance Sheet'!S10-'Balance Sheet'!R10)</f>
        <v>-626</v>
      </c>
      <c r="T7" s="12">
        <f>('Balance Sheet'!T10-'Balance Sheet'!S10)</f>
        <v>-698</v>
      </c>
      <c r="U7" s="12">
        <f>('Balance Sheet'!U10-'Balance Sheet'!T10)</f>
        <v>-58</v>
      </c>
      <c r="V7" s="12">
        <f>('Balance Sheet'!V10-'Balance Sheet'!U10)</f>
        <v>869</v>
      </c>
      <c r="W7" s="12">
        <f>('Balance Sheet'!W10-'Balance Sheet'!V10)</f>
        <v>-193</v>
      </c>
      <c r="X7" s="12">
        <f>('Balance Sheet'!X10-'Balance Sheet'!W10)</f>
        <v>585</v>
      </c>
      <c r="Y7" s="12">
        <f>('Balance Sheet'!Y10-'Balance Sheet'!X10)</f>
        <v>1511</v>
      </c>
      <c r="Z7" s="12">
        <f>('Balance Sheet'!Z10-'Balance Sheet'!Y10)</f>
        <v>882</v>
      </c>
      <c r="AA7" s="12">
        <f>('Balance Sheet'!AA10-'Balance Sheet'!Z10)</f>
        <v>-3212</v>
      </c>
      <c r="AB7" s="12">
        <f>('Balance Sheet'!AB10-'Balance Sheet'!AA10)</f>
        <v>25</v>
      </c>
      <c r="AC7" s="12">
        <f>('Balance Sheet'!AC10-'Balance Sheet'!AB10)</f>
        <v>102</v>
      </c>
      <c r="AD7" s="12">
        <f>('Balance Sheet'!AD10-'Balance Sheet'!AC10)</f>
        <v>1819</v>
      </c>
      <c r="AE7" s="12">
        <f>('Balance Sheet'!AE10-'Balance Sheet'!AD10)</f>
        <v>-882</v>
      </c>
      <c r="AF7" s="12">
        <f>('Balance Sheet'!AF10-'Balance Sheet'!AE10)</f>
        <v>607</v>
      </c>
      <c r="AG7" s="12">
        <f>('Balance Sheet'!AG10-'Balance Sheet'!AF10)</f>
        <v>-1513</v>
      </c>
      <c r="AH7" s="12">
        <f>('Balance Sheet'!AH10-'Balance Sheet'!AG10)</f>
        <v>532</v>
      </c>
      <c r="AI7" s="12">
        <f>('Balance Sheet'!AI10-'Balance Sheet'!AH10)</f>
        <v>195</v>
      </c>
      <c r="AJ7" s="12">
        <f>('Balance Sheet'!AJ10-'Balance Sheet'!AI10)</f>
        <v>888</v>
      </c>
      <c r="AK7" s="12">
        <f>('Balance Sheet'!AK10-'Balance Sheet'!AJ10)</f>
        <v>196</v>
      </c>
      <c r="AL7" s="12">
        <f>('Balance Sheet'!AL10-'Balance Sheet'!AK10)</f>
        <v>3523</v>
      </c>
    </row>
    <row r="8" spans="2:38" x14ac:dyDescent="0.3">
      <c r="B8" s="5" t="s">
        <v>89</v>
      </c>
      <c r="C8" s="6">
        <f t="shared" ref="C8:AL8" si="0">C4+C5+C6+C7</f>
        <v>-6678</v>
      </c>
      <c r="D8" s="6">
        <f t="shared" si="0"/>
        <v>-614.75</v>
      </c>
      <c r="E8" s="6">
        <f t="shared" si="0"/>
        <v>1672</v>
      </c>
      <c r="F8" s="6">
        <f t="shared" si="0"/>
        <v>-4615.3</v>
      </c>
      <c r="G8" s="6">
        <f t="shared" si="0"/>
        <v>4276.7299999999996</v>
      </c>
      <c r="H8" s="6">
        <f t="shared" si="0"/>
        <v>129.47000000000003</v>
      </c>
      <c r="I8" s="6">
        <f t="shared" si="0"/>
        <v>2927.51</v>
      </c>
      <c r="J8" s="6">
        <f t="shared" si="0"/>
        <v>-872.78</v>
      </c>
      <c r="K8" s="6">
        <f t="shared" si="0"/>
        <v>-365</v>
      </c>
      <c r="L8" s="6">
        <f t="shared" si="0"/>
        <v>-4689.8899999999994</v>
      </c>
      <c r="M8" s="6">
        <f t="shared" si="0"/>
        <v>2076.39</v>
      </c>
      <c r="N8" s="6">
        <f t="shared" si="0"/>
        <v>-981.63999999999942</v>
      </c>
      <c r="O8" s="6">
        <f t="shared" si="0"/>
        <v>20449.11</v>
      </c>
      <c r="P8" s="6">
        <f t="shared" si="0"/>
        <v>-1472</v>
      </c>
      <c r="Q8" s="6">
        <f t="shared" si="0"/>
        <v>-3504.51</v>
      </c>
      <c r="R8" s="6">
        <f t="shared" si="0"/>
        <v>2612.0700000000002</v>
      </c>
      <c r="S8" s="6">
        <f t="shared" si="0"/>
        <v>156.61999999999989</v>
      </c>
      <c r="T8" s="6">
        <f t="shared" si="0"/>
        <v>6506.1</v>
      </c>
      <c r="U8" s="6">
        <f t="shared" si="0"/>
        <v>-703.25</v>
      </c>
      <c r="V8" s="6">
        <f t="shared" si="0"/>
        <v>-945.25</v>
      </c>
      <c r="W8" s="6">
        <f t="shared" si="0"/>
        <v>-4176.8500000000004</v>
      </c>
      <c r="X8" s="6">
        <f t="shared" si="0"/>
        <v>4439.57</v>
      </c>
      <c r="Y8" s="6">
        <f t="shared" si="0"/>
        <v>645.54</v>
      </c>
      <c r="Z8" s="6">
        <f t="shared" si="0"/>
        <v>-7539.23</v>
      </c>
      <c r="AA8" s="6">
        <f t="shared" si="0"/>
        <v>31487.379999999997</v>
      </c>
      <c r="AB8" s="6">
        <f t="shared" si="0"/>
        <v>-490.88000000000011</v>
      </c>
      <c r="AC8" s="6">
        <f t="shared" si="0"/>
        <v>268.59999999999991</v>
      </c>
      <c r="AD8" s="6">
        <f t="shared" si="0"/>
        <v>-636.56999999999971</v>
      </c>
      <c r="AE8" s="6">
        <f t="shared" si="0"/>
        <v>2233.25</v>
      </c>
      <c r="AF8" s="6">
        <f t="shared" si="0"/>
        <v>-721.52999999999975</v>
      </c>
      <c r="AG8" s="6">
        <f t="shared" si="0"/>
        <v>3209.7299999999996</v>
      </c>
      <c r="AH8" s="6">
        <f t="shared" si="0"/>
        <v>6337.71</v>
      </c>
      <c r="AI8" s="6">
        <f t="shared" si="0"/>
        <v>-4211.2</v>
      </c>
      <c r="AJ8" s="6">
        <f t="shared" si="0"/>
        <v>6802.4400000000005</v>
      </c>
      <c r="AK8" s="6">
        <f t="shared" si="0"/>
        <v>5445.25</v>
      </c>
      <c r="AL8" s="6">
        <f t="shared" si="0"/>
        <v>-7334.83</v>
      </c>
    </row>
    <row r="9" spans="2:38" x14ac:dyDescent="0.3">
      <c r="B9" t="s">
        <v>90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-3500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-6000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</row>
    <row r="10" spans="2:38" x14ac:dyDescent="0.3">
      <c r="B10" s="5" t="s">
        <v>91</v>
      </c>
      <c r="C10" s="6">
        <f t="shared" ref="C10:AL10" si="1">C9</f>
        <v>0</v>
      </c>
      <c r="D10" s="6">
        <f t="shared" si="1"/>
        <v>0</v>
      </c>
      <c r="E10" s="6">
        <f t="shared" si="1"/>
        <v>0</v>
      </c>
      <c r="F10" s="6">
        <f t="shared" si="1"/>
        <v>0</v>
      </c>
      <c r="G10" s="6">
        <f t="shared" si="1"/>
        <v>0</v>
      </c>
      <c r="H10" s="6">
        <f>H9</f>
        <v>-3500</v>
      </c>
      <c r="I10" s="6">
        <f t="shared" si="1"/>
        <v>0</v>
      </c>
      <c r="J10" s="6">
        <f t="shared" si="1"/>
        <v>0</v>
      </c>
      <c r="K10" s="6">
        <f t="shared" si="1"/>
        <v>0</v>
      </c>
      <c r="L10" s="6">
        <f t="shared" si="1"/>
        <v>0</v>
      </c>
      <c r="M10" s="6">
        <f t="shared" si="1"/>
        <v>0</v>
      </c>
      <c r="N10" s="6">
        <f t="shared" si="1"/>
        <v>0</v>
      </c>
      <c r="O10" s="6">
        <f t="shared" si="1"/>
        <v>0</v>
      </c>
      <c r="P10" s="6">
        <f t="shared" si="1"/>
        <v>0</v>
      </c>
      <c r="Q10" s="6">
        <f t="shared" si="1"/>
        <v>0</v>
      </c>
      <c r="R10" s="6">
        <f t="shared" si="1"/>
        <v>0</v>
      </c>
      <c r="S10" s="6">
        <f t="shared" si="1"/>
        <v>0</v>
      </c>
      <c r="T10" s="6">
        <f t="shared" si="1"/>
        <v>0</v>
      </c>
      <c r="U10" s="6">
        <f t="shared" si="1"/>
        <v>0</v>
      </c>
      <c r="V10" s="6">
        <f t="shared" si="1"/>
        <v>-6000</v>
      </c>
      <c r="W10" s="6">
        <f t="shared" si="1"/>
        <v>0</v>
      </c>
      <c r="X10" s="6">
        <f t="shared" si="1"/>
        <v>0</v>
      </c>
      <c r="Y10" s="6">
        <f t="shared" si="1"/>
        <v>0</v>
      </c>
      <c r="Z10" s="6">
        <f t="shared" si="1"/>
        <v>0</v>
      </c>
      <c r="AA10" s="6">
        <f t="shared" si="1"/>
        <v>0</v>
      </c>
      <c r="AB10" s="6">
        <f t="shared" si="1"/>
        <v>0</v>
      </c>
      <c r="AC10" s="6">
        <f t="shared" si="1"/>
        <v>0</v>
      </c>
      <c r="AD10" s="6">
        <f t="shared" si="1"/>
        <v>0</v>
      </c>
      <c r="AE10" s="6">
        <f t="shared" si="1"/>
        <v>0</v>
      </c>
      <c r="AF10" s="6">
        <f t="shared" si="1"/>
        <v>0</v>
      </c>
      <c r="AG10" s="6">
        <f t="shared" si="1"/>
        <v>0</v>
      </c>
      <c r="AH10" s="6">
        <f t="shared" si="1"/>
        <v>0</v>
      </c>
      <c r="AI10" s="6">
        <f t="shared" si="1"/>
        <v>0</v>
      </c>
      <c r="AJ10" s="6">
        <f t="shared" si="1"/>
        <v>0</v>
      </c>
      <c r="AK10" s="6">
        <f t="shared" si="1"/>
        <v>0</v>
      </c>
      <c r="AL10" s="6">
        <f t="shared" si="1"/>
        <v>0</v>
      </c>
    </row>
    <row r="11" spans="2:38" x14ac:dyDescent="0.3">
      <c r="B11" t="s">
        <v>92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12000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</row>
    <row r="12" spans="2:38" x14ac:dyDescent="0.3">
      <c r="B12" t="s">
        <v>93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-500</v>
      </c>
      <c r="K12" s="4">
        <v>-500</v>
      </c>
      <c r="L12" s="4">
        <v>-500</v>
      </c>
      <c r="M12" s="4">
        <v>-500</v>
      </c>
      <c r="N12" s="4">
        <v>-500</v>
      </c>
      <c r="O12" s="4">
        <v>-500</v>
      </c>
      <c r="P12" s="4">
        <v>-500</v>
      </c>
      <c r="Q12" s="4">
        <v>-500</v>
      </c>
      <c r="R12" s="4">
        <v>-500</v>
      </c>
      <c r="S12" s="4">
        <v>-500</v>
      </c>
      <c r="T12" s="4">
        <v>-500</v>
      </c>
      <c r="U12" s="4">
        <v>-500</v>
      </c>
      <c r="V12" s="4">
        <v>-500</v>
      </c>
      <c r="W12" s="4">
        <v>-500</v>
      </c>
      <c r="X12" s="4">
        <v>-500</v>
      </c>
      <c r="Y12" s="4">
        <v>-500</v>
      </c>
      <c r="Z12" s="4">
        <v>-500</v>
      </c>
      <c r="AA12" s="4">
        <v>-500</v>
      </c>
      <c r="AB12" s="4">
        <v>-500</v>
      </c>
      <c r="AC12" s="4">
        <v>-500</v>
      </c>
      <c r="AD12" s="4">
        <v>-500</v>
      </c>
      <c r="AE12" s="4">
        <v>-500</v>
      </c>
      <c r="AF12" s="4">
        <v>-500</v>
      </c>
      <c r="AG12" s="4">
        <v>-500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</row>
    <row r="13" spans="2:38" x14ac:dyDescent="0.3">
      <c r="B13" t="s">
        <v>94</v>
      </c>
      <c r="C13" s="4">
        <v>-904</v>
      </c>
      <c r="D13" s="4">
        <v>-907</v>
      </c>
      <c r="E13" s="4">
        <v>-911</v>
      </c>
      <c r="F13" s="4">
        <v>-914</v>
      </c>
      <c r="G13" s="4">
        <v>-918</v>
      </c>
      <c r="H13" s="4">
        <v>-922</v>
      </c>
      <c r="I13" s="4">
        <v>-926</v>
      </c>
      <c r="J13" s="4">
        <v>-929</v>
      </c>
      <c r="K13" s="4">
        <v>-933</v>
      </c>
      <c r="L13" s="4">
        <v>-937</v>
      </c>
      <c r="M13" s="4">
        <v>-940</v>
      </c>
      <c r="N13" s="4">
        <v>-944</v>
      </c>
      <c r="O13" s="4">
        <v>-948</v>
      </c>
      <c r="P13" s="4">
        <v>-952</v>
      </c>
      <c r="Q13" s="4">
        <v>-956</v>
      </c>
      <c r="R13" s="4">
        <v>-959</v>
      </c>
      <c r="S13" s="4">
        <v>-963</v>
      </c>
      <c r="T13" s="4">
        <v>-967</v>
      </c>
      <c r="U13" s="4">
        <v>-971</v>
      </c>
      <c r="V13" s="4">
        <v>-975</v>
      </c>
      <c r="W13" s="4">
        <v>-979</v>
      </c>
      <c r="X13" s="4">
        <v>-983</v>
      </c>
      <c r="Y13" s="4">
        <v>-987</v>
      </c>
      <c r="Z13" s="4">
        <v>-990</v>
      </c>
      <c r="AA13" s="4">
        <v>-994</v>
      </c>
      <c r="AB13" s="4">
        <v>-998</v>
      </c>
      <c r="AC13" s="4">
        <v>-1002</v>
      </c>
      <c r="AD13" s="4">
        <v>-1006</v>
      </c>
      <c r="AE13" s="4">
        <v>-1010</v>
      </c>
      <c r="AF13" s="4">
        <v>-1015</v>
      </c>
      <c r="AG13" s="4">
        <v>-1019</v>
      </c>
      <c r="AH13" s="4">
        <v>-1023</v>
      </c>
      <c r="AI13" s="4">
        <v>-1027</v>
      </c>
      <c r="AJ13" s="4">
        <v>-1031</v>
      </c>
      <c r="AK13" s="4">
        <v>-1035</v>
      </c>
      <c r="AL13" s="4">
        <v>-1039</v>
      </c>
    </row>
    <row r="14" spans="2:38" x14ac:dyDescent="0.3">
      <c r="B14" s="5" t="s">
        <v>95</v>
      </c>
      <c r="C14" s="6">
        <f t="shared" ref="C14:AL14" si="2">C11+C12+C13</f>
        <v>-904</v>
      </c>
      <c r="D14" s="6">
        <f t="shared" si="2"/>
        <v>-907</v>
      </c>
      <c r="E14" s="6">
        <f t="shared" si="2"/>
        <v>-911</v>
      </c>
      <c r="F14" s="6">
        <f t="shared" si="2"/>
        <v>-914</v>
      </c>
      <c r="G14" s="6">
        <f t="shared" si="2"/>
        <v>-918</v>
      </c>
      <c r="H14" s="6">
        <f t="shared" si="2"/>
        <v>-922</v>
      </c>
      <c r="I14" s="6">
        <f t="shared" si="2"/>
        <v>11074</v>
      </c>
      <c r="J14" s="6">
        <f t="shared" si="2"/>
        <v>-1429</v>
      </c>
      <c r="K14" s="6">
        <f t="shared" si="2"/>
        <v>-1433</v>
      </c>
      <c r="L14" s="6">
        <f t="shared" si="2"/>
        <v>-1437</v>
      </c>
      <c r="M14" s="6">
        <f t="shared" si="2"/>
        <v>-1440</v>
      </c>
      <c r="N14" s="6">
        <f t="shared" si="2"/>
        <v>-1444</v>
      </c>
      <c r="O14" s="6">
        <f t="shared" si="2"/>
        <v>-1448</v>
      </c>
      <c r="P14" s="6">
        <f t="shared" si="2"/>
        <v>-1452</v>
      </c>
      <c r="Q14" s="6">
        <f t="shared" si="2"/>
        <v>-1456</v>
      </c>
      <c r="R14" s="6">
        <f t="shared" si="2"/>
        <v>-1459</v>
      </c>
      <c r="S14" s="6">
        <f t="shared" si="2"/>
        <v>-1463</v>
      </c>
      <c r="T14" s="6">
        <f t="shared" si="2"/>
        <v>-1467</v>
      </c>
      <c r="U14" s="6">
        <f t="shared" si="2"/>
        <v>-1471</v>
      </c>
      <c r="V14" s="6">
        <f t="shared" si="2"/>
        <v>-1475</v>
      </c>
      <c r="W14" s="6">
        <f t="shared" si="2"/>
        <v>-1479</v>
      </c>
      <c r="X14" s="6">
        <f t="shared" si="2"/>
        <v>-1483</v>
      </c>
      <c r="Y14" s="6">
        <f t="shared" si="2"/>
        <v>-1487</v>
      </c>
      <c r="Z14" s="6">
        <f t="shared" si="2"/>
        <v>-1490</v>
      </c>
      <c r="AA14" s="6">
        <f t="shared" si="2"/>
        <v>-1494</v>
      </c>
      <c r="AB14" s="6">
        <f t="shared" si="2"/>
        <v>-1498</v>
      </c>
      <c r="AC14" s="6">
        <f t="shared" si="2"/>
        <v>-1502</v>
      </c>
      <c r="AD14" s="6">
        <f t="shared" si="2"/>
        <v>-1506</v>
      </c>
      <c r="AE14" s="6">
        <f t="shared" si="2"/>
        <v>-1510</v>
      </c>
      <c r="AF14" s="6">
        <f t="shared" si="2"/>
        <v>-1515</v>
      </c>
      <c r="AG14" s="6">
        <f t="shared" si="2"/>
        <v>-1519</v>
      </c>
      <c r="AH14" s="6">
        <f t="shared" si="2"/>
        <v>-1023</v>
      </c>
      <c r="AI14" s="6">
        <f t="shared" si="2"/>
        <v>-1027</v>
      </c>
      <c r="AJ14" s="6">
        <f t="shared" si="2"/>
        <v>-1031</v>
      </c>
      <c r="AK14" s="6">
        <f t="shared" si="2"/>
        <v>-1035</v>
      </c>
      <c r="AL14" s="6">
        <f t="shared" si="2"/>
        <v>-1039</v>
      </c>
    </row>
    <row r="15" spans="2:38" x14ac:dyDescent="0.3">
      <c r="B15" s="5" t="s">
        <v>96</v>
      </c>
      <c r="C15" s="6">
        <f t="shared" ref="C15:AL15" si="3">C8+C10+C14</f>
        <v>-7582</v>
      </c>
      <c r="D15" s="6">
        <f t="shared" si="3"/>
        <v>-1521.75</v>
      </c>
      <c r="E15" s="6">
        <f t="shared" si="3"/>
        <v>761</v>
      </c>
      <c r="F15" s="6">
        <f t="shared" si="3"/>
        <v>-5529.3</v>
      </c>
      <c r="G15" s="6">
        <f t="shared" si="3"/>
        <v>3358.7299999999996</v>
      </c>
      <c r="H15" s="6">
        <f t="shared" si="3"/>
        <v>-4292.53</v>
      </c>
      <c r="I15" s="6">
        <f t="shared" si="3"/>
        <v>14001.51</v>
      </c>
      <c r="J15" s="6">
        <f t="shared" si="3"/>
        <v>-2301.7799999999997</v>
      </c>
      <c r="K15" s="6">
        <f t="shared" si="3"/>
        <v>-1798</v>
      </c>
      <c r="L15" s="6">
        <f t="shared" si="3"/>
        <v>-6126.8899999999994</v>
      </c>
      <c r="M15" s="6">
        <f t="shared" si="3"/>
        <v>636.38999999999987</v>
      </c>
      <c r="N15" s="6">
        <f t="shared" si="3"/>
        <v>-2425.6399999999994</v>
      </c>
      <c r="O15" s="6">
        <f t="shared" si="3"/>
        <v>19001.11</v>
      </c>
      <c r="P15" s="6">
        <f t="shared" si="3"/>
        <v>-2924</v>
      </c>
      <c r="Q15" s="6">
        <f t="shared" si="3"/>
        <v>-4960.51</v>
      </c>
      <c r="R15" s="6">
        <f t="shared" si="3"/>
        <v>1153.0700000000002</v>
      </c>
      <c r="S15" s="6">
        <f t="shared" si="3"/>
        <v>-1306.3800000000001</v>
      </c>
      <c r="T15" s="6">
        <f t="shared" si="3"/>
        <v>5039.1000000000004</v>
      </c>
      <c r="U15" s="6">
        <f t="shared" si="3"/>
        <v>-2174.25</v>
      </c>
      <c r="V15" s="6">
        <f t="shared" si="3"/>
        <v>-8420.25</v>
      </c>
      <c r="W15" s="6">
        <f t="shared" si="3"/>
        <v>-5655.85</v>
      </c>
      <c r="X15" s="6">
        <f t="shared" si="3"/>
        <v>2956.5699999999997</v>
      </c>
      <c r="Y15" s="6">
        <f t="shared" si="3"/>
        <v>-841.46</v>
      </c>
      <c r="Z15" s="6">
        <f t="shared" si="3"/>
        <v>-9029.23</v>
      </c>
      <c r="AA15" s="6">
        <f t="shared" si="3"/>
        <v>29993.379999999997</v>
      </c>
      <c r="AB15" s="6">
        <f t="shared" si="3"/>
        <v>-1988.88</v>
      </c>
      <c r="AC15" s="6">
        <f t="shared" si="3"/>
        <v>-1233.4000000000001</v>
      </c>
      <c r="AD15" s="6">
        <f t="shared" si="3"/>
        <v>-2142.5699999999997</v>
      </c>
      <c r="AE15" s="6">
        <f t="shared" si="3"/>
        <v>723.25</v>
      </c>
      <c r="AF15" s="6">
        <f t="shared" si="3"/>
        <v>-2236.5299999999997</v>
      </c>
      <c r="AG15" s="6">
        <f t="shared" si="3"/>
        <v>1690.7299999999996</v>
      </c>
      <c r="AH15" s="6">
        <f t="shared" si="3"/>
        <v>5314.71</v>
      </c>
      <c r="AI15" s="6">
        <f t="shared" si="3"/>
        <v>-5238.2</v>
      </c>
      <c r="AJ15" s="6">
        <f t="shared" si="3"/>
        <v>5771.4400000000005</v>
      </c>
      <c r="AK15" s="6">
        <f t="shared" si="3"/>
        <v>4410.25</v>
      </c>
      <c r="AL15" s="6">
        <f t="shared" si="3"/>
        <v>-8373.83</v>
      </c>
    </row>
    <row r="16" spans="2:38" x14ac:dyDescent="0.3">
      <c r="B16" s="5" t="s">
        <v>97</v>
      </c>
      <c r="C16" s="4">
        <v>22000</v>
      </c>
      <c r="D16" s="12">
        <f t="shared" ref="D16:AL16" si="4">C17</f>
        <v>14418</v>
      </c>
      <c r="E16" s="12">
        <f t="shared" si="4"/>
        <v>12896.25</v>
      </c>
      <c r="F16" s="12">
        <f t="shared" si="4"/>
        <v>13657.25</v>
      </c>
      <c r="G16" s="12">
        <f t="shared" si="4"/>
        <v>8127.95</v>
      </c>
      <c r="H16" s="12">
        <f t="shared" si="4"/>
        <v>11486.68</v>
      </c>
      <c r="I16" s="12">
        <f t="shared" si="4"/>
        <v>7194.1500000000005</v>
      </c>
      <c r="J16" s="12">
        <f t="shared" si="4"/>
        <v>21195.66</v>
      </c>
      <c r="K16" s="12">
        <f t="shared" si="4"/>
        <v>18893.88</v>
      </c>
      <c r="L16" s="12">
        <f t="shared" si="4"/>
        <v>17095.88</v>
      </c>
      <c r="M16" s="12">
        <f t="shared" si="4"/>
        <v>10968.990000000002</v>
      </c>
      <c r="N16" s="12">
        <f t="shared" si="4"/>
        <v>11605.380000000001</v>
      </c>
      <c r="O16" s="12">
        <f t="shared" si="4"/>
        <v>9179.7400000000016</v>
      </c>
      <c r="P16" s="12">
        <f t="shared" si="4"/>
        <v>28180.850000000002</v>
      </c>
      <c r="Q16" s="12">
        <f t="shared" si="4"/>
        <v>25256.850000000002</v>
      </c>
      <c r="R16" s="12">
        <f t="shared" si="4"/>
        <v>20296.340000000004</v>
      </c>
      <c r="S16" s="12">
        <f t="shared" si="4"/>
        <v>21449.410000000003</v>
      </c>
      <c r="T16" s="12">
        <f t="shared" si="4"/>
        <v>20143.030000000002</v>
      </c>
      <c r="U16" s="12">
        <f t="shared" si="4"/>
        <v>25182.130000000005</v>
      </c>
      <c r="V16" s="12">
        <f t="shared" si="4"/>
        <v>23007.880000000005</v>
      </c>
      <c r="W16" s="12">
        <f t="shared" si="4"/>
        <v>14587.630000000005</v>
      </c>
      <c r="X16" s="12">
        <f t="shared" si="4"/>
        <v>8931.7800000000043</v>
      </c>
      <c r="Y16" s="12">
        <f t="shared" si="4"/>
        <v>11888.350000000004</v>
      </c>
      <c r="Z16" s="12">
        <f t="shared" si="4"/>
        <v>11046.890000000003</v>
      </c>
      <c r="AA16" s="12">
        <f t="shared" si="4"/>
        <v>2017.6600000000035</v>
      </c>
      <c r="AB16" s="12">
        <f t="shared" si="4"/>
        <v>32011.040000000001</v>
      </c>
      <c r="AC16" s="12">
        <f t="shared" si="4"/>
        <v>30022.16</v>
      </c>
      <c r="AD16" s="12">
        <f t="shared" si="4"/>
        <v>28788.76</v>
      </c>
      <c r="AE16" s="12">
        <f t="shared" si="4"/>
        <v>26646.19</v>
      </c>
      <c r="AF16" s="12">
        <f t="shared" si="4"/>
        <v>27369.439999999999</v>
      </c>
      <c r="AG16" s="12">
        <f t="shared" si="4"/>
        <v>25132.91</v>
      </c>
      <c r="AH16" s="12">
        <f t="shared" si="4"/>
        <v>26823.64</v>
      </c>
      <c r="AI16" s="12">
        <f t="shared" si="4"/>
        <v>32138.35</v>
      </c>
      <c r="AJ16" s="12">
        <f t="shared" si="4"/>
        <v>26900.149999999998</v>
      </c>
      <c r="AK16" s="12">
        <f t="shared" si="4"/>
        <v>32671.589999999997</v>
      </c>
      <c r="AL16" s="12">
        <f t="shared" si="4"/>
        <v>37081.839999999997</v>
      </c>
    </row>
    <row r="17" spans="2:38" x14ac:dyDescent="0.3">
      <c r="B17" s="5" t="s">
        <v>98</v>
      </c>
      <c r="C17" s="6">
        <f t="shared" ref="C17:AL17" si="5">C16+C15</f>
        <v>14418</v>
      </c>
      <c r="D17" s="6">
        <f t="shared" si="5"/>
        <v>12896.25</v>
      </c>
      <c r="E17" s="6">
        <f t="shared" si="5"/>
        <v>13657.25</v>
      </c>
      <c r="F17" s="6">
        <f t="shared" si="5"/>
        <v>8127.95</v>
      </c>
      <c r="G17" s="6">
        <f t="shared" si="5"/>
        <v>11486.68</v>
      </c>
      <c r="H17" s="6">
        <f t="shared" si="5"/>
        <v>7194.1500000000005</v>
      </c>
      <c r="I17" s="6">
        <f t="shared" si="5"/>
        <v>21195.66</v>
      </c>
      <c r="J17" s="6">
        <f t="shared" si="5"/>
        <v>18893.88</v>
      </c>
      <c r="K17" s="6">
        <f t="shared" si="5"/>
        <v>17095.88</v>
      </c>
      <c r="L17" s="6">
        <f t="shared" si="5"/>
        <v>10968.990000000002</v>
      </c>
      <c r="M17" s="6">
        <f t="shared" si="5"/>
        <v>11605.380000000001</v>
      </c>
      <c r="N17" s="6">
        <f t="shared" si="5"/>
        <v>9179.7400000000016</v>
      </c>
      <c r="O17" s="6">
        <f t="shared" si="5"/>
        <v>28180.850000000002</v>
      </c>
      <c r="P17" s="6">
        <f t="shared" si="5"/>
        <v>25256.850000000002</v>
      </c>
      <c r="Q17" s="6">
        <f t="shared" si="5"/>
        <v>20296.340000000004</v>
      </c>
      <c r="R17" s="6">
        <f t="shared" si="5"/>
        <v>21449.410000000003</v>
      </c>
      <c r="S17" s="6">
        <f t="shared" si="5"/>
        <v>20143.030000000002</v>
      </c>
      <c r="T17" s="6">
        <f t="shared" si="5"/>
        <v>25182.130000000005</v>
      </c>
      <c r="U17" s="6">
        <f t="shared" si="5"/>
        <v>23007.880000000005</v>
      </c>
      <c r="V17" s="6">
        <f t="shared" si="5"/>
        <v>14587.630000000005</v>
      </c>
      <c r="W17" s="6">
        <f t="shared" si="5"/>
        <v>8931.7800000000043</v>
      </c>
      <c r="X17" s="6">
        <f t="shared" si="5"/>
        <v>11888.350000000004</v>
      </c>
      <c r="Y17" s="6">
        <f t="shared" si="5"/>
        <v>11046.890000000003</v>
      </c>
      <c r="Z17" s="6">
        <f t="shared" si="5"/>
        <v>2017.6600000000035</v>
      </c>
      <c r="AA17" s="6">
        <f t="shared" si="5"/>
        <v>32011.040000000001</v>
      </c>
      <c r="AB17" s="6">
        <f t="shared" si="5"/>
        <v>30022.16</v>
      </c>
      <c r="AC17" s="6">
        <f t="shared" si="5"/>
        <v>28788.76</v>
      </c>
      <c r="AD17" s="6">
        <f t="shared" si="5"/>
        <v>26646.19</v>
      </c>
      <c r="AE17" s="6">
        <f t="shared" si="5"/>
        <v>27369.439999999999</v>
      </c>
      <c r="AF17" s="6">
        <f t="shared" si="5"/>
        <v>25132.91</v>
      </c>
      <c r="AG17" s="6">
        <f t="shared" si="5"/>
        <v>26823.64</v>
      </c>
      <c r="AH17" s="6">
        <f t="shared" si="5"/>
        <v>32138.35</v>
      </c>
      <c r="AI17" s="6">
        <f t="shared" si="5"/>
        <v>26900.149999999998</v>
      </c>
      <c r="AJ17" s="6">
        <f t="shared" si="5"/>
        <v>32671.589999999997</v>
      </c>
      <c r="AK17" s="6">
        <f t="shared" si="5"/>
        <v>37081.839999999997</v>
      </c>
      <c r="AL17" s="6">
        <f t="shared" si="5"/>
        <v>28708.009999999995</v>
      </c>
    </row>
    <row r="18" spans="2:38" x14ac:dyDescent="0.3">
      <c r="B18" s="5" t="s">
        <v>99</v>
      </c>
      <c r="C18" s="13">
        <f>C17-'Balance Sheet'!C4</f>
        <v>0</v>
      </c>
      <c r="D18" s="13">
        <f>D17-'Balance Sheet'!D4</f>
        <v>0</v>
      </c>
      <c r="E18" s="13">
        <f>E17-'Balance Sheet'!E4</f>
        <v>0</v>
      </c>
      <c r="F18" s="13">
        <f>F17-'Balance Sheet'!F4</f>
        <v>0</v>
      </c>
      <c r="G18" s="13">
        <f>G17-'Balance Sheet'!G4</f>
        <v>0</v>
      </c>
      <c r="H18" s="13">
        <f>H17-'Balance Sheet'!H4</f>
        <v>0</v>
      </c>
      <c r="I18" s="13">
        <f>I17-'Balance Sheet'!I4</f>
        <v>0</v>
      </c>
      <c r="J18" s="13">
        <f>J17-'Balance Sheet'!J4</f>
        <v>0</v>
      </c>
      <c r="K18" s="13">
        <f>K17-'Balance Sheet'!K4</f>
        <v>0</v>
      </c>
      <c r="L18" s="13">
        <f>L17-'Balance Sheet'!L4</f>
        <v>0</v>
      </c>
      <c r="M18" s="13">
        <f>M17-'Balance Sheet'!M4</f>
        <v>0</v>
      </c>
      <c r="N18" s="13">
        <f>N17-'Balance Sheet'!N4</f>
        <v>0</v>
      </c>
      <c r="O18" s="13">
        <f>O17-'Balance Sheet'!O4</f>
        <v>0</v>
      </c>
      <c r="P18" s="13">
        <f>P17-'Balance Sheet'!P4</f>
        <v>0</v>
      </c>
      <c r="Q18" s="13">
        <f>Q17-'Balance Sheet'!Q4</f>
        <v>0</v>
      </c>
      <c r="R18" s="13">
        <f>R17-'Balance Sheet'!R4</f>
        <v>0</v>
      </c>
      <c r="S18" s="13">
        <f>S17-'Balance Sheet'!S4</f>
        <v>0</v>
      </c>
      <c r="T18" s="13">
        <f>T17-'Balance Sheet'!T4</f>
        <v>0</v>
      </c>
      <c r="U18" s="13">
        <f>U17-'Balance Sheet'!U4</f>
        <v>0</v>
      </c>
      <c r="V18" s="13">
        <f>V17-'Balance Sheet'!V4</f>
        <v>0</v>
      </c>
      <c r="W18" s="13">
        <f>W17-'Balance Sheet'!W4</f>
        <v>0</v>
      </c>
      <c r="X18" s="13">
        <f>X17-'Balance Sheet'!X4</f>
        <v>0</v>
      </c>
      <c r="Y18" s="13">
        <f>Y17-'Balance Sheet'!Y4</f>
        <v>0</v>
      </c>
      <c r="Z18" s="13">
        <f>Z17-'Balance Sheet'!Z4</f>
        <v>3.4106051316484809E-12</v>
      </c>
      <c r="AA18" s="13">
        <f>AA17-'Balance Sheet'!AA4</f>
        <v>0</v>
      </c>
      <c r="AB18" s="13">
        <f>AB17-'Balance Sheet'!AB4</f>
        <v>0</v>
      </c>
      <c r="AC18" s="13">
        <f>AC17-'Balance Sheet'!AC4</f>
        <v>0</v>
      </c>
      <c r="AD18" s="13">
        <f>AD17-'Balance Sheet'!AD4</f>
        <v>0</v>
      </c>
      <c r="AE18" s="13">
        <f>AE17-'Balance Sheet'!AE4</f>
        <v>0</v>
      </c>
      <c r="AF18" s="13">
        <f>AF17-'Balance Sheet'!AF4</f>
        <v>0</v>
      </c>
      <c r="AG18" s="13">
        <f>AG17-'Balance Sheet'!AG4</f>
        <v>0</v>
      </c>
      <c r="AH18" s="13">
        <f>AH17-'Balance Sheet'!AH4</f>
        <v>0</v>
      </c>
      <c r="AI18" s="13">
        <f>AI17-'Balance Sheet'!AI4</f>
        <v>0</v>
      </c>
      <c r="AJ18" s="13">
        <f>AJ17-'Balance Sheet'!AJ4</f>
        <v>0</v>
      </c>
      <c r="AK18" s="13">
        <f>AK17-'Balance Sheet'!AK4</f>
        <v>0</v>
      </c>
      <c r="AL18" s="13">
        <f>AL17-'Balance Sheet'!AL4</f>
        <v>0</v>
      </c>
    </row>
    <row r="21" spans="2:38" x14ac:dyDescent="0.3">
      <c r="B21" s="8" t="s">
        <v>58</v>
      </c>
    </row>
    <row r="22" spans="2:38" x14ac:dyDescent="0.3">
      <c r="B22" s="9" t="s">
        <v>100</v>
      </c>
    </row>
    <row r="23" spans="2:38" x14ac:dyDescent="0.3">
      <c r="B23" s="9" t="s">
        <v>101</v>
      </c>
    </row>
    <row r="24" spans="2:38" x14ac:dyDescent="0.3">
      <c r="B24" s="9" t="s">
        <v>102</v>
      </c>
    </row>
    <row r="25" spans="2:38" x14ac:dyDescent="0.3">
      <c r="B25" s="9" t="s">
        <v>103</v>
      </c>
    </row>
  </sheetData>
  <mergeCells count="1">
    <mergeCell ref="B1:A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Emmy Jakes</cp:lastModifiedBy>
  <cp:revision>0</cp:revision>
  <dcterms:created xsi:type="dcterms:W3CDTF">2026-08-28T18:41:29Z</dcterms:created>
  <dcterms:modified xsi:type="dcterms:W3CDTF">2026-09-03T12:25:09Z</dcterms:modified>
  <dc:language>en-US</dc:language>
</cp:coreProperties>
</file>